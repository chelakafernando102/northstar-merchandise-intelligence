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601332953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51a934bc31f243b5"/>
    <x:sheet xmlns:r="http://schemas.openxmlformats.org/officeDocument/2006/relationships" name="01_Trading" sheetId="2" r:id="R02064e4503104f3a"/>
    <x:sheet xmlns:r="http://schemas.openxmlformats.org/officeDocument/2006/relationships" name="02_Assortment" sheetId="3" r:id="Rbfcd09a275fa4d57"/>
    <x:sheet xmlns:r="http://schemas.openxmlformats.org/officeDocument/2006/relationships" name="03_OTB" sheetId="4" r:id="R2fea682e798547c8"/>
    <x:sheet xmlns:r="http://schemas.openxmlformats.org/officeDocument/2006/relationships" name="04_Allocation" sheetId="5" r:id="R74ad9942d44f4e0e"/>
    <x:sheet xmlns:r="http://schemas.openxmlformats.org/officeDocument/2006/relationships" name="05_Replenishment" sheetId="6" r:id="R2ab251adb6844415"/>
    <x:sheet xmlns:r="http://schemas.openxmlformats.org/officeDocument/2006/relationships" name="06_Transfers" sheetId="7" r:id="R32f34218fa064e86"/>
    <x:sheet xmlns:r="http://schemas.openxmlformats.org/officeDocument/2006/relationships" name="07_Markdowns" sheetId="8" r:id="Raf26248bf53f4ec1"/>
    <x:sheet xmlns:r="http://schemas.openxmlformats.org/officeDocument/2006/relationships" name="08_Seasonal" sheetId="9" r:id="Re12a74c896374aba"/>
    <x:sheet xmlns:r="http://schemas.openxmlformats.org/officeDocument/2006/relationships" name="09_Vendors" sheetId="10" r:id="R1b06b7db52834fab"/>
    <x:sheet xmlns:r="http://schemas.openxmlformats.org/officeDocument/2006/relationships" name="10_Data" sheetId="11" r:id="R09d8e5eb09b748c9"/>
    <x:sheet xmlns:r="http://schemas.openxmlformats.org/officeDocument/2006/relationships" name="11_Checks" sheetId="12" r:id="R9f0eb8604cc9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#,##0"/>
    <x:numFmt numFmtId="201" formatCode="0.0%"/>
    <x:numFmt numFmtId="202" formatCode="0.0"/>
    <x:numFmt numFmtId="203" formatCode="$0.0,,&quot;M&quot;"/>
    <x:numFmt numFmtId="204" formatCode="+0.0%;-0.0%"/>
    <x:numFmt numFmtId="205" formatCode="$#,##0;[Red]($#,##0)"/>
    <x:numFmt numFmtId="206" formatCode="0.00"/>
    <x:numFmt numFmtId="207" formatCode="#,##0"/>
    <x:numFmt numFmtId="208" formatCode="0%"/>
  </x:numFmts>
  <x:fonts count="19">
    <x:font>
      <x:sz val="11"/>
      <x:name val="Carlito"/>
    </x:font>
    <x:font>
      <x:sz val="10"/>
      <x:color rgb="FF0D0D0F"/>
      <x:name val="Aptos"/>
    </x:font>
    <x:font>
      <x:b/>
      <x:sz val="9"/>
      <x:color rgb="FFF3F0E9"/>
      <x:name val="Aptos"/>
    </x:font>
    <x:font>
      <x:sz val="9"/>
      <x:color rgb="FF0D0D0F"/>
      <x:name val="Aptos"/>
    </x:font>
    <x:font>
      <x:sz val="10"/>
      <x:color rgb="FFF3F0E9"/>
      <x:name val="Aptos"/>
    </x:font>
    <x:font>
      <x:b/>
      <x:sz val="14"/>
      <x:color rgb="FFC6A15B"/>
      <x:name val="Aptos"/>
    </x:font>
    <x:font>
      <x:b/>
      <x:sz val="28"/>
      <x:color rgb="FFF3F0E9"/>
      <x:name val="Aptos Display"/>
    </x:font>
    <x:font>
      <x:sz val="10"/>
      <x:color rgb="FFAAA7A0"/>
      <x:name val="Aptos"/>
    </x:font>
    <x:font>
      <x:b/>
      <x:sz val="8"/>
      <x:color rgb="FFC6A15B"/>
      <x:name val="Aptos"/>
    </x:font>
    <x:font>
      <x:sz val="9"/>
      <x:color rgb="FFF3F0E9"/>
      <x:name val="Aptos"/>
    </x:font>
    <x:font>
      <x:sz val="9"/>
      <x:color rgb="FFAAA7A0"/>
      <x:name val="Aptos"/>
    </x:font>
    <x:font>
      <x:b/>
      <x:sz val="10"/>
      <x:color rgb="FFC6A15B"/>
      <x:name val="Aptos"/>
    </x:font>
    <x:font>
      <x:b/>
      <x:sz val="22"/>
      <x:color rgb="FFF3F0E9"/>
      <x:name val="Aptos Display"/>
    </x:font>
    <x:font>
      <x:b/>
      <x:sz val="8"/>
      <x:color rgb="FFAAA7A0"/>
      <x:name val="Aptos"/>
    </x:font>
    <x:font>
      <x:b/>
      <x:sz val="18"/>
      <x:color rgb="FFF3F0E9"/>
      <x:name val="Aptos Display"/>
    </x:font>
    <x:font>
      <x:b/>
      <x:sz val="9"/>
      <x:color rgb="FFC6A15B"/>
      <x:name val="Aptos"/>
    </x:font>
    <x:font>
      <x:b/>
      <x:sz val="10"/>
      <x:color rgb="FFF3F0E9"/>
      <x:name val="Aptos"/>
    </x:font>
    <x:font>
      <x:b/>
      <x:sz val="10"/>
      <x:color rgb="FF0D0D0F"/>
      <x:name val="Aptos"/>
    </x:font>
    <x:font>
      <x:b/>
      <x:sz val="22"/>
      <x:color rgb="FF7FA58A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F5F2EB"/>
      </x:patternFill>
    </x:fill>
    <x:fill>
      <x:patternFill patternType="solid">
        <x:fgColor rgb="FF1C1C20"/>
      </x:patternFill>
    </x:fill>
    <x:fill>
      <x:patternFill patternType="solid">
        <x:fgColor rgb="FFFFFFFF"/>
      </x:patternFill>
    </x:fill>
    <x:fill>
      <x:patternFill patternType="solid">
        <x:fgColor rgb="FF0D0D0F"/>
      </x:patternFill>
    </x:fill>
    <x:fill>
      <x:patternFill patternType="solid">
        <x:fgColor rgb="FFEFE3C3"/>
      </x:patternFill>
    </x:fill>
    <x:fill>
      <x:patternFill patternType="solid">
        <x:fgColor rgb="FFFBF4E2"/>
      </x:patternFill>
    </x:fill>
    <x:fill>
      <x:patternFill patternType="solid">
        <x:fgColor rgb="FFDCE8DF"/>
      </x:patternFill>
    </x:fill>
  </x:fills>
  <x:borders count="12">
    <x:border/>
    <x:border>
      <x:bottom style="thin">
        <x:color rgb="FFC6A15B"/>
      </x:bottom>
    </x:border>
    <x:border>
      <x:bottom style="thin">
        <x:color rgb="FFD8D4CB"/>
      </x:bottom>
    </x:border>
    <x:border>
      <x:top style="thin">
        <x:color rgb="FFD8D4CB"/>
      </x:top>
      <x:bottom style="thin">
        <x:color rgb="FFD8D4CB"/>
      </x:bottom>
    </x:border>
    <x:border>
      <x:top style="thin">
        <x:color rgb="FFD8D4CB"/>
      </x:top>
    </x:border>
    <x:border>
      <x:top style="medium">
        <x:color rgb="FFC6A15B"/>
      </x:top>
    </x:border>
    <x:border>
      <x:top style="medium">
        <x:color rgb="FF7FA58A"/>
      </x:top>
    </x:border>
    <x:border>
      <x:bottom style="thin">
        <x:color rgb="FF242429"/>
      </x:bottom>
    </x:border>
    <x:border>
      <x:top style="thin">
        <x:color rgb="FF242429"/>
      </x:top>
      <x:bottom style="thin">
        <x:color rgb="FF242429"/>
      </x:bottom>
    </x:border>
    <x:border>
      <x:top style="thin">
        <x:color rgb="FF242429"/>
      </x:top>
    </x:border>
    <x:border>
      <x:left style="medium">
        <x:color rgb="FFC6A15B"/>
      </x:left>
    </x:border>
    <x:border>
      <x:left style="medium">
        <x:color rgb="FF7FA58A"/>
      </x:left>
    </x:border>
  </x:borders>
  <x:cellStyleXfs count="1">
    <x:xf numFmtId="0" fontId="0" fillId="0" borderId="0"/>
  </x:cellStyleXfs>
  <x:cellXfs count="1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200" fontId="3" fillId="4" borderId="3" xfId="0" applyNumberFormat="1" applyFont="1" applyFill="1" applyBorder="1" applyAlignment="1">
      <x:alignment vertical="center"/>
    </x:xf>
    <x:xf numFmtId="200" fontId="3" fillId="4" borderId="4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201" fontId="3" fillId="4" borderId="3" xfId="0" applyNumberFormat="1" applyFont="1" applyFill="1" applyBorder="1" applyAlignment="1">
      <x:alignment vertical="center"/>
    </x:xf>
    <x:xf numFmtId="201" fontId="3" fillId="4" borderId="4" xfId="0" applyNumberFormat="1" applyFont="1" applyFill="1" applyBorder="1" applyAlignment="1">
      <x:alignment vertical="center"/>
    </x:xf>
    <x:xf numFmtId="202" fontId="3" fillId="4" borderId="2" xfId="0" applyNumberFormat="1" applyFont="1" applyFill="1" applyBorder="1" applyAlignment="1">
      <x:alignment vertical="center"/>
    </x:xf>
    <x:xf numFmtId="202" fontId="3" fillId="4" borderId="3" xfId="0" applyNumberFormat="1" applyFont="1" applyFill="1" applyBorder="1" applyAlignment="1">
      <x:alignment vertical="center"/>
    </x:xf>
    <x:xf numFmtId="202" fontId="3" fillId="4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/>
    <x:xf numFmtId="0" fontId="13" fillId="3" borderId="5" xfId="0" applyNumberFormat="1" applyFont="1" applyFill="1" applyBorder="1"/>
    <x:xf numFmtId="0" fontId="13" fillId="3" borderId="5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/>
    <x:xf numFmtId="203" fontId="14" fillId="3" borderId="0" xfId="0" applyNumberFormat="1" applyFont="1" applyFill="1" applyBorder="1"/>
    <x:xf numFmtId="203" fontId="14" fillId="3" borderId="0" xfId="0" applyNumberFormat="1" applyFont="1" applyFill="1" applyBorder="1" applyAlignment="1">
      <x:alignment vertical="center"/>
    </x:xf>
    <x:xf numFmtId="0" fontId="13" fillId="3" borderId="6" xfId="0" applyNumberFormat="1" applyFont="1" applyFill="1" applyBorder="1"/>
    <x:xf numFmtId="0" fontId="13" fillId="3" borderId="6" xfId="0" applyNumberFormat="1" applyFont="1" applyFill="1" applyBorder="1" applyAlignment="1">
      <x:alignment vertical="center"/>
    </x:xf>
    <x:xf numFmtId="204" fontId="14" fillId="3" borderId="0" xfId="0" applyNumberFormat="1" applyFont="1" applyFill="1" applyBorder="1"/>
    <x:xf numFmtId="204" fontId="14" fillId="3" borderId="0" xfId="0" applyNumberFormat="1" applyFont="1" applyFill="1" applyBorder="1" applyAlignment="1">
      <x:alignment vertical="center"/>
    </x:xf>
    <x:xf numFmtId="201" fontId="14" fillId="3" borderId="0" xfId="0" applyNumberFormat="1" applyFont="1" applyFill="1" applyBorder="1"/>
    <x:xf numFmtId="201" fontId="14" fillId="3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/>
    <x:xf numFmtId="0" fontId="9" fillId="5" borderId="0" xfId="0" applyNumberFormat="1" applyFont="1" applyFill="1" applyBorder="1"/>
    <x:xf numFmtId="200" fontId="9" fillId="5" borderId="0" xfId="0" applyNumberFormat="1" applyFont="1" applyFill="1" applyBorder="1"/>
    <x:xf numFmtId="0" fontId="9" fillId="3" borderId="7" xfId="0" applyNumberFormat="1" applyFont="1" applyFill="1" applyBorder="1"/>
    <x:xf numFmtId="0" fontId="9" fillId="3" borderId="8" xfId="0" applyNumberFormat="1" applyFont="1" applyFill="1" applyBorder="1"/>
    <x:xf numFmtId="0" fontId="9" fillId="3" borderId="9" xfId="0" applyNumberFormat="1" applyFont="1" applyFill="1" applyBorder="1"/>
    <x:xf numFmtId="201" fontId="9" fillId="3" borderId="7" xfId="0" applyNumberFormat="1" applyFont="1" applyFill="1" applyBorder="1"/>
    <x:xf numFmtId="201" fontId="9" fillId="3" borderId="8" xfId="0" applyNumberFormat="1" applyFont="1" applyFill="1" applyBorder="1"/>
    <x:xf numFmtId="201" fontId="9" fillId="3" borderId="9" xfId="0" applyNumberFormat="1" applyFont="1" applyFill="1" applyBorder="1"/>
    <x:xf numFmtId="202" fontId="9" fillId="3" borderId="7" xfId="0" applyNumberFormat="1" applyFont="1" applyFill="1" applyBorder="1"/>
    <x:xf numFmtId="202" fontId="9" fillId="3" borderId="8" xfId="0" applyNumberFormat="1" applyFont="1" applyFill="1" applyBorder="1"/>
    <x:xf numFmtId="202" fontId="9" fillId="3" borderId="9" xfId="0" applyNumberFormat="1" applyFont="1" applyFill="1" applyBorder="1"/>
    <x:xf numFmtId="200" fontId="9" fillId="3" borderId="7" xfId="0" applyNumberFormat="1" applyFont="1" applyFill="1" applyBorder="1"/>
    <x:xf numFmtId="200" fontId="9" fillId="3" borderId="8" xfId="0" applyNumberFormat="1" applyFont="1" applyFill="1" applyBorder="1"/>
    <x:xf numFmtId="200" fontId="9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0" xfId="0" applyNumberFormat="1" applyFont="1" applyFill="1" applyBorder="1"/>
    <x:xf numFmtId="0" fontId="1" fillId="6" borderId="1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1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5" fontId="3" fillId="4" borderId="2" xfId="0" applyNumberFormat="1" applyFont="1" applyFill="1" applyBorder="1" applyAlignment="1">
      <x:alignment vertical="center"/>
    </x:xf>
    <x:xf numFmtId="205" fontId="3" fillId="4" borderId="3" xfId="0" applyNumberFormat="1" applyFont="1" applyFill="1" applyBorder="1" applyAlignment="1">
      <x:alignment vertical="center"/>
    </x:xf>
    <x:xf numFmtId="205" fontId="3" fillId="4" borderId="4" xfId="0" applyNumberFormat="1" applyFont="1" applyFill="1" applyBorder="1" applyAlignment="1">
      <x:alignment vertical="center"/>
    </x:xf>
    <x:xf numFmtId="205" fontId="3" fillId="7" borderId="2" xfId="0" applyNumberFormat="1" applyFont="1" applyFill="1" applyBorder="1" applyAlignment="1">
      <x:alignment vertical="center"/>
    </x:xf>
    <x:xf numFmtId="205" fontId="3" fillId="7" borderId="3" xfId="0" applyNumberFormat="1" applyFont="1" applyFill="1" applyBorder="1" applyAlignment="1">
      <x:alignment vertical="center"/>
    </x:xf>
    <x:xf numFmtId="205" fontId="3" fillId="7" borderId="4" xfId="0" applyNumberFormat="1" applyFont="1" applyFill="1" applyBorder="1" applyAlignment="1">
      <x:alignment vertical="center"/>
    </x:xf>
    <x:xf numFmtId="206" fontId="3" fillId="4" borderId="2" xfId="0" applyNumberFormat="1" applyFont="1" applyFill="1" applyBorder="1" applyAlignment="1">
      <x:alignment vertical="center"/>
    </x:xf>
    <x:xf numFmtId="206" fontId="3" fillId="4" borderId="3" xfId="0" applyNumberFormat="1" applyFont="1" applyFill="1" applyBorder="1" applyAlignment="1">
      <x:alignment vertical="center"/>
    </x:xf>
    <x:xf numFmtId="206" fontId="3" fillId="4" borderId="4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/>
    <x:xf numFmtId="0" fontId="1" fillId="7" borderId="0" xfId="0" applyNumberFormat="1" applyFont="1" applyFill="1" applyBorder="1"/>
    <x:xf numFmtId="0" fontId="17" fillId="7" borderId="0" xfId="0" applyNumberFormat="1" applyFont="1" applyFill="1" applyBorder="1"/>
    <x:xf numFmtId="207" fontId="17" fillId="7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1" xfId="0" applyNumberFormat="1" applyFont="1" applyFill="1" applyBorder="1"/>
    <x:xf numFmtId="0" fontId="1" fillId="8" borderId="11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1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8" fontId="3" fillId="4" borderId="2" xfId="0" applyNumberFormat="1" applyFont="1" applyFill="1" applyBorder="1" applyAlignment="1">
      <x:alignment vertical="center"/>
    </x:xf>
    <x:xf numFmtId="208" fontId="3" fillId="4" borderId="3" xfId="0" applyNumberFormat="1" applyFont="1" applyFill="1" applyBorder="1" applyAlignment="1">
      <x:alignment vertical="center"/>
    </x:xf>
    <x:xf numFmtId="208" fontId="3" fillId="4" borderId="4" xfId="0" applyNumberFormat="1" applyFont="1" applyFill="1" applyBorder="1" applyAlignment="1">
      <x:alignment vertical="center"/>
    </x:xf>
    <x:xf numFmtId="204" fontId="3" fillId="4" borderId="2" xfId="0" applyNumberFormat="1" applyFont="1" applyFill="1" applyBorder="1" applyAlignment="1">
      <x:alignment vertical="center"/>
    </x:xf>
    <x:xf numFmtId="204" fontId="3" fillId="4" borderId="3" xfId="0" applyNumberFormat="1" applyFont="1" applyFill="1" applyBorder="1" applyAlignment="1">
      <x:alignment vertical="center"/>
    </x:xf>
    <x:xf numFmtId="204" fontId="3" fillId="4" borderId="4" xfId="0" applyNumberFormat="1" applyFont="1" applyFill="1" applyBorder="1" applyAlignment="1">
      <x:alignment vertical="center"/>
    </x:xf>
    <x:xf numFmtId="0" fontId="18" fillId="3" borderId="0" xfId="0" applyNumberFormat="1" applyFont="1" applyFill="1" applyBorder="1"/>
    <x:xf numFmtId="0" fontId="18" fillId="3" borderId="5" xfId="0" applyNumberFormat="1" applyFont="1" applyFill="1" applyBorder="1"/>
    <x:xf numFmtId="0" fontId="18" fillId="3" borderId="5" xfId="0" applyNumberFormat="1" applyFont="1" applyFill="1" applyBorder="1" applyAlignment="1">
      <x:alignment horizontal="center"/>
    </x:xf>
    <x:xf numFmtId="0" fontId="18" fillId="3" borderId="0" xfId="0" applyNumberFormat="1" applyFont="1" applyFill="1" applyBorder="1" applyAlignment="1">
      <x:alignment horizontal="center"/>
    </x:xf>
    <x:xf numFmtId="0" fontId="18" fillId="3" borderId="5" xfId="0" applyNumberFormat="1" applyFont="1" applyFill="1" applyBorder="1" applyAlignment="1">
      <x:alignment horizontal="center" vertical="center"/>
    </x:xf>
    <x:xf numFmtId="0" fontId="18" fillId="3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vertical="center"/>
    </x:xf>
    <x:xf numFmtId="200" fontId="9" fillId="5" borderId="0" xfId="0" applyNumberFormat="1" applyFont="1" applyFill="1" applyBorder="1" applyAlignment="1">
      <x:alignment vertical="center"/>
    </x:xf>
    <x:xf numFmtId="0" fontId="9" fillId="3" borderId="7" xfId="0" applyNumberFormat="1" applyFont="1" applyFill="1" applyBorder="1" applyAlignment="1">
      <x:alignment vertical="center"/>
    </x:xf>
    <x:xf numFmtId="201" fontId="9" fillId="3" borderId="7" xfId="0" applyNumberFormat="1" applyFont="1" applyFill="1" applyBorder="1" applyAlignment="1">
      <x:alignment vertical="center"/>
    </x:xf>
    <x:xf numFmtId="202" fontId="9" fillId="3" borderId="7" xfId="0" applyNumberFormat="1" applyFont="1" applyFill="1" applyBorder="1" applyAlignment="1">
      <x:alignment vertical="center"/>
    </x:xf>
    <x:xf numFmtId="200" fontId="9" fillId="3" borderId="7" xfId="0" applyNumberFormat="1" applyFont="1" applyFill="1" applyBorder="1" applyAlignment="1">
      <x:alignment vertical="center"/>
    </x:xf>
    <x:xf numFmtId="0" fontId="9" fillId="3" borderId="8" xfId="0" applyNumberFormat="1" applyFont="1" applyFill="1" applyBorder="1" applyAlignment="1">
      <x:alignment vertical="center"/>
    </x:xf>
    <x:xf numFmtId="201" fontId="9" fillId="3" borderId="8" xfId="0" applyNumberFormat="1" applyFont="1" applyFill="1" applyBorder="1" applyAlignment="1">
      <x:alignment vertical="center"/>
    </x:xf>
    <x:xf numFmtId="202" fontId="9" fillId="3" borderId="8" xfId="0" applyNumberFormat="1" applyFont="1" applyFill="1" applyBorder="1" applyAlignment="1">
      <x:alignment vertical="center"/>
    </x:xf>
    <x:xf numFmtId="200" fontId="9" fillId="3" borderId="8" xfId="0" applyNumberFormat="1" applyFont="1" applyFill="1" applyBorder="1" applyAlignment="1">
      <x:alignment vertical="center"/>
    </x:xf>
    <x:xf numFmtId="0" fontId="9" fillId="3" borderId="9" xfId="0" applyNumberFormat="1" applyFont="1" applyFill="1" applyBorder="1" applyAlignment="1">
      <x:alignment vertical="center"/>
    </x:xf>
    <x:xf numFmtId="201" fontId="9" fillId="3" borderId="9" xfId="0" applyNumberFormat="1" applyFont="1" applyFill="1" applyBorder="1" applyAlignment="1">
      <x:alignment vertical="center"/>
    </x:xf>
    <x:xf numFmtId="202" fontId="9" fillId="3" borderId="9" xfId="0" applyNumberFormat="1" applyFont="1" applyFill="1" applyBorder="1" applyAlignment="1">
      <x:alignment vertical="center"/>
    </x:xf>
    <x:xf numFmtId="200" fontId="9" fillId="3" borderId="9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 applyAlignment="1">
      <x:alignment vertical="center"/>
    </x:xf>
    <x:xf numFmtId="207" fontId="17" fillId="7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31563B"/>
      </x:font>
      <x:fill>
        <x:patternFill patternType="solid">
          <x:bgColor rgb="FFDCE8DF"/>
        </x:patternFill>
      </x:fill>
    </x:dxf>
    <x:dxf>
      <x:font>
        <x:b/>
        <x:color rgb="FF733F3F"/>
      </x:font>
      <x:fill>
        <x:patternFill patternType="solid">
          <x:bgColor rgb="FFE8D1D1"/>
        </x:patternFill>
      </x:fill>
    </x:dxf>
    <x:dxf>
      <x:font>
        <x:b/>
        <x:color rgb="FF733F3F"/>
      </x:font>
      <x:fill>
        <x:patternFill patternType="solid">
          <x:bgColor rgb="FFE8D1D1"/>
        </x:patternFill>
      </x:fill>
    </x:dxf>
    <x:dxf>
      <x:font>
        <x:b/>
        <x:color rgb="FF31563B"/>
      </x:font>
      <x:fill>
        <x:patternFill patternType="solid">
          <x:bgColor rgb="FFDCE8DF"/>
        </x:patternFill>
      </x:fill>
    </x:dxf>
    <x:dxf>
      <x:font>
        <x:b/>
        <x:color rgb="FF733F3F"/>
      </x:font>
      <x:fill>
        <x:patternFill patternType="solid">
          <x:bgColor rgb="FFE8D1D1"/>
        </x:patternFill>
      </x:fill>
    </x:dxf>
    <x:dxf>
      <x:font>
        <x:b/>
        <x:color rgb="FF6B5222"/>
      </x:font>
      <x:fill>
        <x:patternFill patternType="solid">
          <x:bgColor rgb="FFEFE3C3"/>
        </x:patternFill>
      </x:fill>
    </x:dxf>
    <x:dxf>
      <x:font>
        <x:b/>
        <x:color rgb="FF733F3F"/>
      </x:font>
      <x:fill>
        <x:patternFill patternType="solid">
          <x:bgColor rgb="FFE8D1D1"/>
        </x:patternFill>
      </x:fill>
    </x:dxf>
    <x:dxf>
      <x:font>
        <x:b/>
        <x:color rgb="FF733F3F"/>
      </x:font>
      <x:fill>
        <x:patternFill patternType="solid">
          <x:bgColor rgb="FFE8D1D1"/>
        </x:patternFill>
      </x:fill>
    </x:dxf>
    <x:dxf>
      <x:font>
        <x:b/>
        <x:color rgb="FF31563B"/>
      </x:font>
      <x:fill>
        <x:patternFill patternType="solid">
          <x:bgColor rgb="FFDCE8DF"/>
        </x:patternFill>
      </x:fill>
    </x:dxf>
    <x:dxf>
      <x:font>
        <x:b/>
        <x:color rgb="FF733F3F"/>
      </x:font>
      <x:fill>
        <x:patternFill patternType="solid">
          <x:bgColor rgb="FFE8D1D1"/>
        </x:patternFill>
      </x:fill>
    </x:dxf>
    <x:dxf>
      <x:font>
        <x:b/>
        <x:color rgb="FF31563B"/>
      </x:font>
      <x:fill>
        <x:patternFill patternType="solid">
          <x:bgColor rgb="FFDCE8DF"/>
        </x:patternFill>
      </x:fill>
    </x:dxf>
    <x:dxf>
      <x:font>
        <x:b/>
        <x:color rgb="FF733F3F"/>
      </x:font>
      <x:fill>
        <x:patternFill patternType="solid">
          <x:bgColor rgb="FFE8D1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f79ba07504127" /><Relationship Type="http://schemas.openxmlformats.org/officeDocument/2006/relationships/theme" Target="/xl/theme/theme1.xml" Id="Rdae41e58c89f42e2" /><Relationship Type="http://schemas.openxmlformats.org/officeDocument/2006/relationships/sharedStrings" Target="/xl/sharedStrings.xml" Id="Rdbcfa2485d17404a" /><Relationship Type="http://schemas.openxmlformats.org/officeDocument/2006/relationships/worksheet" Target="/xl/worksheets/sheet1.xml" Id="R51a934bc31f243b5" /><Relationship Type="http://schemas.openxmlformats.org/officeDocument/2006/relationships/worksheet" Target="/xl/worksheets/sheet2.xml" Id="R02064e4503104f3a" /><Relationship Type="http://schemas.openxmlformats.org/officeDocument/2006/relationships/worksheet" Target="/xl/worksheets/sheet3.xml" Id="Rbfcd09a275fa4d57" /><Relationship Type="http://schemas.openxmlformats.org/officeDocument/2006/relationships/worksheet" Target="/xl/worksheets/sheet4.xml" Id="R2fea682e798547c8" /><Relationship Type="http://schemas.openxmlformats.org/officeDocument/2006/relationships/worksheet" Target="/xl/worksheets/sheet5.xml" Id="R74ad9942d44f4e0e" /><Relationship Type="http://schemas.openxmlformats.org/officeDocument/2006/relationships/worksheet" Target="/xl/worksheets/sheet6.xml" Id="R2ab251adb6844415" /><Relationship Type="http://schemas.openxmlformats.org/officeDocument/2006/relationships/worksheet" Target="/xl/worksheets/sheet7.xml" Id="R32f34218fa064e86" /><Relationship Type="http://schemas.openxmlformats.org/officeDocument/2006/relationships/worksheet" Target="/xl/worksheets/sheet8.xml" Id="Raf26248bf53f4ec1" /><Relationship Type="http://schemas.openxmlformats.org/officeDocument/2006/relationships/worksheet" Target="/xl/worksheets/sheet9.xml" Id="Re12a74c896374aba" /><Relationship Type="http://schemas.openxmlformats.org/officeDocument/2006/relationships/worksheet" Target="/xl/worksheets/sheet10.xml" Id="R1b06b7db52834fab" /><Relationship Type="http://schemas.openxmlformats.org/officeDocument/2006/relationships/worksheet" Target="/xl/worksheets/sheet11.xml" Id="R09d8e5eb09b748c9" /><Relationship Type="http://schemas.openxmlformats.org/officeDocument/2006/relationships/worksheet" Target="/xl/worksheets/sheet12.xml" Id="R9f0eb8604cc946fa" /><Relationship Type="http://schemas.microsoft.com/office/2017/10/relationships/person" Target="/xl/persons/person.xml" Id="R2bab34461bc344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22e566f65344d6" /><Relationship Type="http://schemas.openxmlformats.org/officeDocument/2006/relationships/chart" Target="/xl/drawings/charts/chart2.xml" Id="R3419112371bd49b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e13c88c2c2145f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4f58ccfb0ad40c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8830367dfec4a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sales vs plan ($)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'01_Trading'!$A$14:$A$21</c:f>
              <c:strCache>
                <c:ptCount val="0"/>
              </c:strCache>
            </c:strRef>
          </c:cat>
          <c:val>
            <c:numRef>
              <c:f>'01_Trading'!$B$14:$B$21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'01_Trading'!$A$14:$A$21</c:f>
              <c:strCache>
                <c:ptCount val="0"/>
              </c:strCache>
            </c:strRef>
          </c:cat>
          <c:val>
            <c:numRef>
              <c:f>'01_Trading'!$C$14:$C$21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category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'01_Trading'!$I$14:$I$20</c:f>
              <c:strCache>
                <c:ptCount val="0"/>
              </c:strCache>
            </c:strRef>
          </c:cat>
          <c:val>
            <c:numRef>
              <c:f>'01_Trading'!$J$14:$J$20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&quot;K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per SKU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'02_Assortment'!$A$23:$A$29</c:f>
              <c:strCache>
                <c:ptCount val="0"/>
              </c:strCache>
            </c:strRef>
          </c:cat>
          <c:val>
            <c:numRef>
              <c:f>'02_Assortment'!$B$23:$B$29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velocity before vs after markdown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Pre-Markdown</c:v>
          </c:tx>
          <c:cat>
            <c:strRef>
              <c:f>'07_Markdowns'!$A$21</c:f>
              <c:strCache>
                <c:ptCount val="0"/>
              </c:strCache>
            </c:strRef>
          </c:cat>
          <c:val>
            <c:numRef>
              <c:f>'07_Markdowns'!$B$21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Post-Markdown</c:v>
          </c:tx>
          <c:cat>
            <c:strRef>
              <c:f>'07_Markdowns'!$A$21</c:f>
              <c:strCache>
                <c:ptCount val="0"/>
              </c:strCache>
            </c:strRef>
          </c:cat>
          <c:val>
            <c:numRef>
              <c:f>'07_Markdowns'!$C$21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Seasonal sales: plan vs actual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Plan</c:v>
          </c:tx>
          <c:cat>
            <c:strRef>
              <c:f>'08_Seasonal'!$A$7:$A$11</c:f>
              <c:strCache>
                <c:ptCount val="0"/>
              </c:strCache>
            </c:strRef>
          </c:cat>
          <c:val>
            <c:numRef>
              <c:f>'08_Seasonal'!$B$7:$B$11</c:f>
              <c:numCache>
                <c:formatCode>$#,##0;[Red]($#,##0)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'08_Seasonal'!$A$7:$A$11</c:f>
              <c:strCache>
                <c:ptCount val="0"/>
              </c:strCache>
            </c:strRef>
          </c:cat>
          <c:val>
            <c:numRef>
              <c:f>'08_Seasonal'!$C$7:$C$11</c:f>
              <c:numCache>
                <c:formatCode>$#,##0;[Red]($#,##0)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&quot;K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22e566f65344d6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19112371bd49b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13c88c2c2145f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f58ccfb0ad40c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830367dfec4a1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helaka Fernando" id="{7F48E9FC-F94C-440E-B950-17E9C22ABF5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33d3b01577d45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a2b92011ba14d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07dd51edb46e43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e17b00c1505443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122"/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</x:row>
    <x:row r="2">
      <x:c r="A2" s="122"/>
      <x:c r="B2" s="122"/>
      <x:c r="C2" s="122"/>
      <x:c r="D2" s="122"/>
      <x:c r="E2" s="122"/>
      <x:c r="F2" s="122"/>
      <x:c r="G2" s="122"/>
      <x:c r="H2" s="122"/>
      <x:c r="I2" s="122"/>
      <x:c r="J2" s="122"/>
      <x:c r="K2" s="122"/>
      <x:c r="L2" s="122"/>
    </x:row>
    <x:row r="3">
      <x:c r="A3" s="122"/>
      <x:c r="B3" s="122"/>
      <x:c r="C3" s="122"/>
      <x:c r="D3" s="122"/>
      <x:c r="E3" s="122"/>
      <x:c r="F3" s="122"/>
      <x:c r="G3" s="122"/>
      <x:c r="H3" s="122"/>
      <x:c r="I3" s="122"/>
      <x:c r="J3" s="122"/>
      <x:c r="K3" s="122"/>
      <x:c r="L3" s="122"/>
    </x:row>
    <x:row r="4" ht="34" customHeight="1">
      <x:c r="A4" s="122"/>
      <x:c r="B4" s="123" t="str">
        <x:v>N O R T H S T A R</x:v>
      </x:c>
      <x:c r="C4" s="123"/>
      <x:c r="D4" s="123"/>
      <x:c r="E4" s="123"/>
      <x:c r="F4" s="123"/>
      <x:c r="G4" s="123"/>
      <x:c r="H4" s="123"/>
      <x:c r="I4" s="123"/>
      <x:c r="J4" s="123"/>
      <x:c r="K4" s="123"/>
      <x:c r="L4" s="122"/>
    </x:row>
    <x:row r="5">
      <x:c r="A5" s="122"/>
      <x:c r="B5" s="122"/>
      <x:c r="C5" s="122"/>
      <x:c r="D5" s="122"/>
      <x:c r="E5" s="122"/>
      <x:c r="F5" s="122"/>
      <x:c r="G5" s="122"/>
      <x:c r="H5" s="122"/>
      <x:c r="I5" s="122"/>
      <x:c r="J5" s="122"/>
      <x:c r="K5" s="122"/>
      <x:c r="L5" s="122"/>
    </x:row>
    <x:row r="6">
      <x:c r="A6" s="122"/>
      <x:c r="B6" s="122"/>
      <x:c r="C6" s="122"/>
      <x:c r="D6" s="122"/>
      <x:c r="E6" s="122"/>
      <x:c r="F6" s="122"/>
      <x:c r="G6" s="122"/>
      <x:c r="H6" s="122"/>
      <x:c r="I6" s="122"/>
      <x:c r="J6" s="122"/>
      <x:c r="K6" s="122"/>
      <x:c r="L6" s="122"/>
    </x:row>
    <x:row r="7">
      <x:c r="A7" s="122"/>
      <x:c r="B7" s="32" t="str">
        <x:v>Merchandise Planning Model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122"/>
    </x:row>
    <x:row r="8">
      <x:c r="A8" s="12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122"/>
    </x:row>
    <x:row r="9">
      <x:c r="A9" s="12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122"/>
    </x:row>
    <x:row r="10">
      <x:c r="A10" s="122"/>
      <x:c r="B10" s="122"/>
      <x:c r="C10" s="122"/>
      <x:c r="D10" s="122"/>
      <x:c r="E10" s="122"/>
      <x:c r="F10" s="122"/>
      <x:c r="G10" s="122"/>
      <x:c r="H10" s="122"/>
      <x:c r="I10" s="122"/>
      <x:c r="J10" s="122"/>
      <x:c r="K10" s="122"/>
      <x:c r="L10" s="122"/>
    </x:row>
    <x:row r="11">
      <x:c r="A11" s="122"/>
      <x:c r="B11" s="35" t="str">
        <x:v>FY2026  ·  ASSORTMENT  ·  OPEN-TO-BUY  ·  ALLOCATION  ·  REPLENISHMENT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122"/>
    </x:row>
    <x:row r="12">
      <x:c r="A12" s="122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122"/>
    </x:row>
    <x:row r="13">
      <x:c r="A13" s="122"/>
      <x:c r="B13" s="122"/>
      <x:c r="C13" s="122"/>
      <x:c r="D13" s="122"/>
      <x:c r="E13" s="122"/>
      <x:c r="F13" s="122"/>
      <x:c r="G13" s="122"/>
      <x:c r="H13" s="122"/>
      <x:c r="I13" s="122"/>
      <x:c r="J13" s="122"/>
      <x:c r="K13" s="122"/>
      <x:c r="L13" s="122"/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>
      <x:c r="A15" s="122"/>
      <x:c r="B15" s="122"/>
      <x:c r="C15" s="122"/>
      <x:c r="D15" s="122"/>
      <x:c r="E15" s="122"/>
      <x:c r="F15" s="122"/>
      <x:c r="G15" s="122"/>
      <x:c r="H15" s="122"/>
      <x:c r="I15" s="122"/>
      <x:c r="J15" s="122"/>
      <x:c r="K15" s="122"/>
      <x:c r="L15" s="122"/>
    </x:row>
    <x:row r="16" ht="25" customHeight="1">
      <x:c r="A16" s="122"/>
      <x:c r="B16" s="122"/>
      <x:c r="C16" s="122"/>
      <x:c r="D16" s="124" t="str">
        <x:v>MODEL</x:v>
      </x:c>
      <x:c r="E16" s="125" t="str">
        <x:v>MERCHANDISE DECISION SUPPORT</x:v>
      </x:c>
      <x:c r="F16" s="125"/>
      <x:c r="G16" s="125"/>
      <x:c r="H16" s="125"/>
      <x:c r="I16" s="125"/>
      <x:c r="J16" s="122"/>
      <x:c r="K16" s="122"/>
      <x:c r="L16" s="122"/>
    </x:row>
    <x:row r="17" ht="25" customHeight="1">
      <x:c r="A17" s="122"/>
      <x:c r="B17" s="122"/>
      <x:c r="C17" s="122"/>
      <x:c r="D17" s="124" t="str">
        <x:v>NETWORK</x:v>
      </x:c>
      <x:c r="E17" s="125" t="str">
        <x:v>10 CANADIAN STORES</x:v>
      </x:c>
      <x:c r="F17" s="125"/>
      <x:c r="G17" s="125"/>
      <x:c r="H17" s="125"/>
      <x:c r="I17" s="125"/>
      <x:c r="J17" s="122"/>
      <x:c r="K17" s="122"/>
      <x:c r="L17" s="122"/>
    </x:row>
    <x:row r="18" ht="25" customHeight="1">
      <x:c r="A18" s="122"/>
      <x:c r="B18" s="122"/>
      <x:c r="C18" s="122"/>
      <x:c r="D18" s="124" t="str">
        <x:v>ASSORTMENT</x:v>
      </x:c>
      <x:c r="E18" s="125" t="str">
        <x:v>2,255 SKUS</x:v>
      </x:c>
      <x:c r="F18" s="125"/>
      <x:c r="G18" s="125"/>
      <x:c r="H18" s="125"/>
      <x:c r="I18" s="125"/>
      <x:c r="J18" s="122"/>
      <x:c r="K18" s="122"/>
      <x:c r="L18" s="122"/>
    </x:row>
    <x:row r="19" ht="25" customHeight="1">
      <x:c r="A19" s="122"/>
      <x:c r="B19" s="122"/>
      <x:c r="C19" s="122"/>
      <x:c r="D19" s="124" t="str">
        <x:v>DATA</x:v>
      </x:c>
      <x:c r="E19" s="125" t="str">
        <x:v>120,000 TRANSACTIONS</x:v>
      </x:c>
      <x:c r="F19" s="125"/>
      <x:c r="G19" s="125"/>
      <x:c r="H19" s="125"/>
      <x:c r="I19" s="125"/>
      <x:c r="J19" s="122"/>
      <x:c r="K19" s="122"/>
      <x:c r="L19" s="122"/>
    </x:row>
    <x:row r="20" ht="25" customHeight="1">
      <x:c r="A20" s="122"/>
      <x:c r="B20" s="122"/>
      <x:c r="C20" s="122"/>
      <x:c r="D20" s="124" t="str">
        <x:v>PERIOD</x:v>
      </x:c>
      <x:c r="E20" s="125" t="str">
        <x:v>FY2026 · WEEK 32</x:v>
      </x:c>
      <x:c r="F20" s="125"/>
      <x:c r="G20" s="125"/>
      <x:c r="H20" s="125"/>
      <x:c r="I20" s="125"/>
      <x:c r="J20" s="122"/>
      <x:c r="K20" s="122"/>
      <x:c r="L20" s="122"/>
    </x:row>
    <x:row r="21" ht="25" customHeight="1">
      <x:c r="A21" s="122"/>
      <x:c r="B21" s="122"/>
      <x:c r="C21" s="122"/>
      <x:c r="D21" s="124" t="str">
        <x:v>STATUS</x:v>
      </x:c>
      <x:c r="E21" s="125" t="str">
        <x:v>VALIDATED</x:v>
      </x:c>
      <x:c r="F21" s="125"/>
      <x:c r="G21" s="125"/>
      <x:c r="H21" s="125"/>
      <x:c r="I21" s="125"/>
      <x:c r="J21" s="122"/>
      <x:c r="K21" s="122"/>
      <x:c r="L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  <x:c r="I22" s="122"/>
      <x:c r="J22" s="122"/>
      <x:c r="K22" s="122"/>
      <x:c r="L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  <x:c r="I23" s="122"/>
      <x:c r="J23" s="122"/>
      <x:c r="K23" s="122"/>
      <x:c r="L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  <x:c r="I24" s="122"/>
      <x:c r="J24" s="122"/>
      <x:c r="K24" s="122"/>
      <x:c r="L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  <x:c r="I25" s="122"/>
      <x:c r="J25" s="122"/>
      <x:c r="K25" s="122"/>
      <x:c r="L25" s="122"/>
    </x:row>
    <x:row r="26">
      <x:c r="A26" s="122"/>
      <x:c r="B26" s="126" t="str">
        <x:v>Prepared by Chelaka Fernando  ·  12 August 2026</x:v>
      </x:c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  <x:c r="I27" s="122"/>
      <x:c r="J27" s="122"/>
      <x:c r="K27" s="122"/>
      <x:c r="L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  <x:c r="I28" s="122"/>
      <x:c r="J28" s="122"/>
      <x:c r="K28" s="122"/>
      <x:c r="L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  <x:c r="I29" s="122"/>
      <x:c r="J29" s="122"/>
      <x:c r="K29" s="122"/>
      <x:c r="L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  <x:c r="I30" s="122"/>
      <x:c r="J30" s="122"/>
      <x:c r="K30" s="122"/>
      <x:c r="L30" s="122"/>
    </x:row>
  </x:sheetData>
  <x:mergeCells>
    <x:mergeCell ref="B4:K4"/>
    <x:mergeCell ref="B7:K9"/>
    <x:mergeCell ref="B11:K12"/>
    <x:mergeCell ref="B26:K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4" customHeight="1">
      <x:c r="A1" s="42" t="str">
        <x:v>N O R T H S T A R   ·   HOME &amp; LIVING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</x:row>
    <x:row r="2">
      <x:c r="A2" s="44" t="str">
        <x:v>Merchandise Trading Overview</x:v>
      </x:c>
      <x:c r="B2" s="122"/>
      <x:c r="C2" s="122"/>
      <x:c r="D2" s="122"/>
      <x:c r="E2" s="122"/>
      <x:c r="F2" s="122"/>
      <x:c r="G2" s="122"/>
      <x:c r="H2" s="122"/>
      <x:c r="I2" s="122"/>
      <x:c r="J2" s="122"/>
      <x:c r="K2" s="122"/>
      <x:c r="L2" s="122"/>
      <x:c r="M2" s="122"/>
      <x:c r="N2" s="122"/>
    </x:row>
    <x:row r="3">
      <x:c r="A3" s="122"/>
      <x:c r="B3" s="122"/>
      <x:c r="C3" s="122"/>
      <x:c r="D3" s="122"/>
      <x:c r="E3" s="122"/>
      <x:c r="F3" s="122"/>
      <x:c r="G3" s="122"/>
      <x:c r="H3" s="122"/>
      <x:c r="I3" s="122"/>
      <x:c r="J3" s="122"/>
      <x:c r="K3" s="122"/>
      <x:c r="L3" s="122"/>
      <x:c r="M3" s="122"/>
      <x:c r="N3" s="122"/>
    </x:row>
    <x:row r="4" ht="22" customHeight="1">
      <x:c r="A4" s="46" t="str">
        <x:v>FY2026 · Week 32 · Canadian Retail Division · Last refreshed 12 Aug 2026</x:v>
      </x:c>
      <x:c r="B4" s="122"/>
      <x:c r="C4" s="122"/>
      <x:c r="D4" s="122"/>
      <x:c r="E4" s="122"/>
      <x:c r="F4" s="122"/>
      <x:c r="G4" s="122"/>
      <x:c r="H4" s="122"/>
      <x:c r="I4" s="122"/>
      <x:c r="J4" s="122"/>
      <x:c r="K4" s="122"/>
      <x:c r="L4" s="122"/>
      <x:c r="M4" s="122"/>
      <x:c r="N4" s="122"/>
    </x:row>
    <x:row r="5">
      <x:c r="A5" s="122"/>
      <x:c r="B5" s="122"/>
      <x:c r="C5" s="122"/>
      <x:c r="D5" s="122"/>
      <x:c r="E5" s="122"/>
      <x:c r="F5" s="122"/>
      <x:c r="G5" s="122"/>
      <x:c r="H5" s="122"/>
      <x:c r="I5" s="122"/>
      <x:c r="J5" s="122"/>
      <x:c r="K5" s="122"/>
      <x:c r="L5" s="122"/>
      <x:c r="M5" s="122"/>
      <x:c r="N5" s="122"/>
    </x:row>
    <x:row r="6">
      <x:c r="A6" s="49" t="str">
        <x:v>NET SALES</x:v>
      </x:c>
      <x:c r="B6" s="49"/>
      <x:c r="C6" s="49"/>
      <x:c r="D6" s="54" t="str">
        <x:v>SALES VS PLAN</x:v>
      </x:c>
      <x:c r="E6" s="54"/>
      <x:c r="F6" s="54"/>
      <x:c r="G6" s="49" t="str">
        <x:v>GROSS MARGIN</x:v>
      </x:c>
      <x:c r="H6" s="49"/>
      <x:c r="I6" s="49"/>
      <x:c r="J6" s="49" t="str">
        <x:v>SELL-THROUGH</x:v>
      </x:c>
      <x:c r="K6" s="49"/>
      <x:c r="L6" s="49"/>
      <x:c r="M6" s="49" t="str">
        <x:v>INVENTORY</x:v>
      </x:c>
      <x:c r="N6" s="49"/>
    </x:row>
    <x:row r="7">
      <x:c r="A7" s="52" t="n">
        <x:f>'10_Data'!$AE$2</x:f>
        <x:v>9477976.81</x:v>
      </x:c>
      <x:c r="B7" s="52"/>
      <x:c r="C7" s="52"/>
      <x:c r="D7" s="56" t="n">
        <x:f>'10_Data'!$AE$3</x:f>
        <x:v>0.042</x:v>
      </x:c>
      <x:c r="E7" s="56"/>
      <x:c r="F7" s="56"/>
      <x:c r="G7" s="58" t="n">
        <x:f>'10_Data'!$AE$4</x:f>
        <x:v>0.5191</x:v>
      </x:c>
      <x:c r="H7" s="58"/>
      <x:c r="I7" s="58"/>
      <x:c r="J7" s="58" t="n">
        <x:f>'10_Data'!$AE$5</x:f>
        <x:v>0.6243</x:v>
      </x:c>
      <x:c r="K7" s="58"/>
      <x:c r="L7" s="58"/>
      <x:c r="M7" s="52" t="n">
        <x:f>'10_Data'!$AE$6</x:f>
        <x:v>1139614.21</x:v>
      </x:c>
      <x:c r="N7" s="52"/>
    </x:row>
    <x:row r="8">
      <x:c r="A8" s="52"/>
      <x:c r="B8" s="52"/>
      <x:c r="C8" s="52"/>
      <x:c r="D8" s="56"/>
      <x:c r="E8" s="56"/>
      <x:c r="F8" s="56"/>
      <x:c r="G8" s="58"/>
      <x:c r="H8" s="58"/>
      <x:c r="I8" s="58"/>
      <x:c r="J8" s="58"/>
      <x:c r="K8" s="58"/>
      <x:c r="L8" s="58"/>
      <x:c r="M8" s="52"/>
      <x:c r="N8" s="52"/>
    </x:row>
    <x:row r="9">
      <x:c r="A9" s="52"/>
      <x:c r="B9" s="52"/>
      <x:c r="C9" s="52"/>
      <x:c r="D9" s="56"/>
      <x:c r="E9" s="56"/>
      <x:c r="F9" s="56"/>
      <x:c r="G9" s="58"/>
      <x:c r="H9" s="58"/>
      <x:c r="I9" s="58"/>
      <x:c r="J9" s="58"/>
      <x:c r="K9" s="58"/>
      <x:c r="L9" s="58"/>
      <x:c r="M9" s="52"/>
      <x:c r="N9" s="52"/>
    </x:row>
    <x:row r="10">
      <x:c r="A10" s="122"/>
      <x:c r="B10" s="122"/>
      <x:c r="C10" s="122"/>
      <x:c r="D10" s="122"/>
      <x:c r="E10" s="122"/>
      <x:c r="F10" s="122"/>
      <x:c r="G10" s="122"/>
      <x:c r="H10" s="122"/>
      <x:c r="I10" s="122"/>
      <x:c r="J10" s="122"/>
      <x:c r="K10" s="122"/>
      <x:c r="L10" s="122"/>
      <x:c r="M10" s="122"/>
      <x:c r="N10" s="122"/>
    </x:row>
    <x:row r="11">
      <x:c r="A11" s="122"/>
      <x:c r="B11" s="122"/>
      <x:c r="C11" s="122"/>
      <x:c r="D11" s="122"/>
      <x:c r="E11" s="122"/>
      <x:c r="F11" s="122"/>
      <x:c r="G11" s="122"/>
      <x:c r="H11" s="122"/>
      <x:c r="I11" s="122"/>
      <x:c r="J11" s="122"/>
      <x:c r="K11" s="122"/>
      <x:c r="L11" s="122"/>
      <x:c r="M11" s="122"/>
      <x:c r="N11" s="122"/>
    </x:row>
    <x:row r="12" ht="22" customHeight="1">
      <x:c r="A12" s="60" t="str">
        <x:v>SALES PERFORMANCE · ACTUAL VS PLAN</x:v>
      </x:c>
      <x:c r="B12" s="60"/>
      <x:c r="C12" s="60"/>
      <x:c r="D12" s="60"/>
      <x:c r="E12" s="60"/>
      <x:c r="F12" s="60"/>
      <x:c r="G12" s="60"/>
      <x:c r="H12" s="60"/>
      <x:c r="I12" s="60" t="str">
        <x:v>CATEGORY CONTRIBUTION</x:v>
      </x:c>
      <x:c r="J12" s="60"/>
      <x:c r="K12" s="60"/>
      <x:c r="L12" s="60"/>
      <x:c r="M12" s="60"/>
      <x:c r="N12" s="60"/>
    </x:row>
    <x:row r="13">
      <x:c r="A13" s="122"/>
      <x:c r="B13" s="122"/>
      <x:c r="C13" s="122"/>
      <x:c r="D13" s="122"/>
      <x:c r="E13" s="122"/>
      <x:c r="F13" s="122"/>
      <x:c r="G13" s="122"/>
      <x:c r="H13" s="122"/>
      <x:c r="I13" s="122"/>
      <x:c r="J13" s="122"/>
      <x:c r="K13" s="122"/>
      <x:c r="L13" s="122"/>
      <x:c r="M13" s="122"/>
      <x:c r="N13" s="122"/>
    </x:row>
    <x:row r="14">
      <x:c r="A14" s="122" t="str">
        <x:f>'10_Data'!S2</x:f>
        <x:v>2026-01</x:v>
      </x:c>
      <x:c r="B14" s="127" t="n">
        <x:f>'10_Data'!T2</x:f>
        <x:v>1325627.34</x:v>
      </x:c>
      <x:c r="C14" s="127" t="n">
        <x:f>'10_Data'!U2</x:f>
        <x:v>1299634.65</x:v>
      </x:c>
      <x:c r="D14" s="122"/>
      <x:c r="E14" s="122"/>
      <x:c r="F14" s="122"/>
      <x:c r="G14" s="122"/>
      <x:c r="H14" s="122"/>
      <x:c r="I14" s="128" t="str">
        <x:f>'10_Data'!A2</x:f>
        <x:v>Tables</x:v>
      </x:c>
      <x:c r="J14" s="128" t="n">
        <x:f>'10_Data'!C2</x:f>
        <x:v>904950.7</x:v>
      </x:c>
      <x:c r="K14" s="122"/>
      <x:c r="L14" s="122"/>
      <x:c r="M14" s="122"/>
      <x:c r="N14" s="122"/>
    </x:row>
    <x:row r="15">
      <x:c r="A15" s="122" t="str">
        <x:f>'10_Data'!S3</x:f>
        <x:v>2026-02</x:v>
      </x:c>
      <x:c r="B15" s="127" t="n">
        <x:f>'10_Data'!T3</x:f>
        <x:v>1150780.12</x:v>
      </x:c>
      <x:c r="C15" s="127" t="n">
        <x:f>'10_Data'!U3</x:f>
        <x:v>1128215.8</x:v>
      </x:c>
      <x:c r="D15" s="122"/>
      <x:c r="E15" s="122"/>
      <x:c r="F15" s="122"/>
      <x:c r="G15" s="122"/>
      <x:c r="H15" s="122"/>
      <x:c r="I15" s="128" t="str">
        <x:f>'10_Data'!A3</x:f>
        <x:v>Accent Furniture</x:v>
      </x:c>
      <x:c r="J15" s="128" t="n">
        <x:f>'10_Data'!C3</x:f>
        <x:v>823500.09</x:v>
      </x:c>
      <x:c r="K15" s="122"/>
      <x:c r="L15" s="122"/>
      <x:c r="M15" s="122"/>
      <x:c r="N15" s="122"/>
    </x:row>
    <x:row r="16">
      <x:c r="A16" s="122" t="str">
        <x:f>'10_Data'!S4</x:f>
        <x:v>2026-03</x:v>
      </x:c>
      <x:c r="B16" s="127" t="n">
        <x:f>'10_Data'!T4</x:f>
        <x:v>1314398.81</x:v>
      </x:c>
      <x:c r="C16" s="127" t="n">
        <x:f>'10_Data'!U4</x:f>
        <x:v>1288626.28</x:v>
      </x:c>
      <x:c r="D16" s="122"/>
      <x:c r="E16" s="122"/>
      <x:c r="F16" s="122"/>
      <x:c r="G16" s="122"/>
      <x:c r="H16" s="122"/>
      <x:c r="I16" s="128" t="str">
        <x:f>'10_Data'!A4</x:f>
        <x:v>Seating</x:v>
      </x:c>
      <x:c r="J16" s="128" t="n">
        <x:f>'10_Data'!C4</x:f>
        <x:v>756521.76</x:v>
      </x:c>
      <x:c r="K16" s="122"/>
      <x:c r="L16" s="122"/>
      <x:c r="M16" s="122"/>
      <x:c r="N16" s="122"/>
    </x:row>
    <x:row r="17">
      <x:c r="A17" s="122" t="str">
        <x:f>'10_Data'!S5</x:f>
        <x:v>2026-04</x:v>
      </x:c>
      <x:c r="B17" s="127" t="n">
        <x:f>'10_Data'!T5</x:f>
        <x:v>1267945.41</x:v>
      </x:c>
      <x:c r="C17" s="127" t="n">
        <x:f>'10_Data'!U5</x:f>
        <x:v>1320776.47</x:v>
      </x:c>
      <x:c r="D17" s="122"/>
      <x:c r="E17" s="122"/>
      <x:c r="F17" s="122"/>
      <x:c r="G17" s="122"/>
      <x:c r="H17" s="122"/>
      <x:c r="I17" s="128" t="str">
        <x:f>'10_Data'!A5</x:f>
        <x:v>Floor Lamps</x:v>
      </x:c>
      <x:c r="J17" s="128" t="n">
        <x:f>'10_Data'!C5</x:f>
        <x:v>670538.26</x:v>
      </x:c>
      <x:c r="K17" s="122"/>
      <x:c r="L17" s="122"/>
      <x:c r="M17" s="122"/>
      <x:c r="N17" s="122"/>
    </x:row>
    <x:row r="18">
      <x:c r="A18" s="122" t="str">
        <x:f>'10_Data'!S6</x:f>
        <x:v>2026-05</x:v>
      </x:c>
      <x:c r="B18" s="127" t="n">
        <x:f>'10_Data'!T6</x:f>
        <x:v>1327520.37</x:v>
      </x:c>
      <x:c r="C18" s="127" t="n">
        <x:f>'10_Data'!U6</x:f>
        <x:v>1382833.72</x:v>
      </x:c>
      <x:c r="D18" s="122"/>
      <x:c r="E18" s="122"/>
      <x:c r="F18" s="122"/>
      <x:c r="G18" s="122"/>
      <x:c r="H18" s="122"/>
      <x:c r="I18" s="128" t="str">
        <x:f>'10_Data'!A6</x:f>
        <x:v>Pendants</x:v>
      </x:c>
      <x:c r="J18" s="128" t="n">
        <x:f>'10_Data'!C6</x:f>
        <x:v>656663.72</x:v>
      </x:c>
      <x:c r="K18" s="122"/>
      <x:c r="L18" s="122"/>
      <x:c r="M18" s="122"/>
      <x:c r="N18" s="122"/>
    </x:row>
    <x:row r="19">
      <x:c r="A19" s="122" t="str">
        <x:f>'10_Data'!S7</x:f>
        <x:v>2026-06</x:v>
      </x:c>
      <x:c r="B19" s="127" t="n">
        <x:f>'10_Data'!T7</x:f>
        <x:v>1283277.43</x:v>
      </x:c>
      <x:c r="C19" s="127" t="n">
        <x:f>'10_Data'!U7</x:f>
        <x:v>1336747.32</x:v>
      </x:c>
      <x:c r="D19" s="122"/>
      <x:c r="E19" s="122"/>
      <x:c r="F19" s="122"/>
      <x:c r="G19" s="122"/>
      <x:c r="H19" s="122"/>
      <x:c r="I19" s="128" t="str">
        <x:f>'10_Data'!A7</x:f>
        <x:v>Table Lamps</x:v>
      </x:c>
      <x:c r="J19" s="128" t="n">
        <x:f>'10_Data'!C7</x:f>
        <x:v>629281.88</x:v>
      </x:c>
      <x:c r="K19" s="122"/>
      <x:c r="L19" s="122"/>
      <x:c r="M19" s="122"/>
      <x:c r="N19" s="122"/>
    </x:row>
    <x:row r="20">
      <x:c r="A20" s="122" t="str">
        <x:f>'10_Data'!S8</x:f>
        <x:v>2026-07</x:v>
      </x:c>
      <x:c r="B20" s="127" t="n">
        <x:f>'10_Data'!T8</x:f>
        <x:v>1306251.76</x:v>
      </x:c>
      <x:c r="C20" s="127" t="n">
        <x:f>'10_Data'!U8</x:f>
        <x:v>1280638.98</x:v>
      </x:c>
      <x:c r="D20" s="122"/>
      <x:c r="E20" s="122"/>
      <x:c r="F20" s="122"/>
      <x:c r="G20" s="122"/>
      <x:c r="H20" s="122"/>
      <x:c r="I20" s="128" t="str">
        <x:f>'10_Data'!A8</x:f>
        <x:v>Wall Decor</x:v>
      </x:c>
      <x:c r="J20" s="128" t="n">
        <x:f>'10_Data'!C8</x:f>
        <x:v>525837.31</x:v>
      </x:c>
      <x:c r="K20" s="122"/>
      <x:c r="L20" s="122"/>
      <x:c r="M20" s="122"/>
      <x:c r="N20" s="122"/>
    </x:row>
    <x:row r="21">
      <x:c r="A21" s="122" t="str">
        <x:f>'10_Data'!S9</x:f>
        <x:v>2026-08</x:v>
      </x:c>
      <x:c r="B21" s="127" t="n">
        <x:f>'10_Data'!T9</x:f>
        <x:v>502175.57</x:v>
      </x:c>
      <x:c r="C21" s="127" t="n">
        <x:f>'10_Data'!U9</x:f>
        <x:v>492328.99</x:v>
      </x:c>
      <x:c r="D21" s="122"/>
      <x:c r="E21" s="122"/>
      <x:c r="F21" s="122"/>
      <x:c r="G21" s="122"/>
      <x:c r="H21" s="122"/>
      <x:c r="I21" s="122"/>
      <x:c r="J21" s="122"/>
      <x:c r="K21" s="122"/>
      <x:c r="L21" s="122"/>
      <x:c r="M21" s="122"/>
      <x:c r="N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  <x:c r="I22" s="122"/>
      <x:c r="J22" s="122"/>
      <x:c r="K22" s="122"/>
      <x:c r="L22" s="122"/>
      <x:c r="M22" s="122"/>
      <x:c r="N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  <x:c r="I23" s="122"/>
      <x:c r="J23" s="122"/>
      <x:c r="K23" s="122"/>
      <x:c r="L23" s="122"/>
      <x:c r="M23" s="122"/>
      <x:c r="N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  <x:c r="I24" s="122"/>
      <x:c r="J24" s="122"/>
      <x:c r="K24" s="122"/>
      <x:c r="L24" s="122"/>
      <x:c r="M24" s="122"/>
      <x:c r="N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  <x:c r="I25" s="122"/>
      <x:c r="J25" s="122"/>
      <x:c r="K25" s="122"/>
      <x:c r="L25" s="122"/>
      <x:c r="M25" s="122"/>
      <x:c r="N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  <x:c r="I26" s="122"/>
      <x:c r="J26" s="122"/>
      <x:c r="K26" s="122"/>
      <x:c r="L26" s="122"/>
      <x:c r="M26" s="122"/>
      <x:c r="N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  <x:c r="I27" s="122"/>
      <x:c r="J27" s="122"/>
      <x:c r="K27" s="122"/>
      <x:c r="L27" s="122"/>
      <x:c r="M27" s="122"/>
      <x:c r="N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  <x:c r="I28" s="122"/>
      <x:c r="J28" s="122"/>
      <x:c r="K28" s="122"/>
      <x:c r="L28" s="122"/>
      <x:c r="M28" s="122"/>
      <x:c r="N28" s="122"/>
    </x:row>
    <x:row r="29" ht="22" customHeight="1">
      <x:c r="A29" s="60" t="str">
        <x:v>ACTION INTELLIGENCE</x:v>
      </x:c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</x:row>
    <x:row r="30">
      <x:c r="A30" s="122"/>
      <x:c r="B30" s="122"/>
      <x:c r="C30" s="122"/>
      <x:c r="D30" s="122"/>
      <x:c r="E30" s="122"/>
      <x:c r="F30" s="122"/>
      <x:c r="G30" s="122"/>
      <x:c r="H30" s="122"/>
      <x:c r="I30" s="122"/>
      <x:c r="J30" s="122"/>
      <x:c r="K30" s="122"/>
      <x:c r="L30" s="122"/>
      <x:c r="M30" s="122"/>
      <x:c r="N30" s="122"/>
    </x:row>
    <x:row r="31" ht="24" customHeight="1">
      <x:c r="A31" s="6" t="str">
        <x:v>SKU</x:v>
      </x:c>
      <x:c r="B31" s="6" t="str">
        <x:v>Product</x:v>
      </x:c>
      <x:c r="C31" s="6" t="str">
        <x:v>ST%</x:v>
      </x:c>
      <x:c r="D31" s="6" t="str">
        <x:v>WOS</x:v>
      </x:c>
      <x:c r="E31" s="6" t="str">
        <x:v>Inventory</x:v>
      </x:c>
      <x:c r="F31" s="6" t="str">
        <x:v>Recommended Action</x:v>
      </x:c>
      <x:c r="G31" s="122"/>
      <x:c r="H31" s="79" t="str">
        <x:v>MANAGEMENT READOUT
Lighting leads assortment productivity while premium furniture holds a disproportionate share of inventory investment. Prioritize replenishment for high-conversion lighting and rebalance slow-moving stock before markdown.</x:v>
      </x:c>
      <x:c r="I31" s="80"/>
      <x:c r="J31" s="80"/>
      <x:c r="K31" s="80"/>
      <x:c r="L31" s="80"/>
      <x:c r="M31" s="80"/>
      <x:c r="N31" s="80"/>
    </x:row>
    <x:row r="32" ht="22" customHeight="1">
      <x:c r="A32" s="129" t="str">
        <x:f>'10_Data'!A35</x:f>
        <x:v>TAB0786</x:v>
      </x:c>
      <x:c r="B32" s="129" t="str">
        <x:f>'10_Data'!B35</x:f>
        <x:v>Cove Linen Vessel</x:v>
      </x:c>
      <x:c r="C32" s="130" t="n">
        <x:f>'10_Data'!F35</x:f>
        <x:v>0.9167</x:v>
      </x:c>
      <x:c r="D32" s="131" t="n">
        <x:f>'10_Data'!G35</x:f>
        <x:v>2.9</x:v>
      </x:c>
      <x:c r="E32" s="132" t="n">
        <x:f>'10_Data'!H35</x:f>
        <x:v>738.9</x:v>
      </x:c>
      <x:c r="F32" s="129" t="str">
        <x:f>'10_Data'!I35</x:f>
        <x:v>REORDER</x:v>
      </x:c>
      <x:c r="G32" s="122"/>
      <x:c r="H32" s="79"/>
      <x:c r="I32" s="80"/>
      <x:c r="J32" s="80"/>
      <x:c r="K32" s="80"/>
      <x:c r="L32" s="80"/>
      <x:c r="M32" s="80"/>
      <x:c r="N32" s="80"/>
    </x:row>
    <x:row r="33" ht="22" customHeight="1">
      <x:c r="A33" s="133" t="str">
        <x:f>'10_Data'!A36</x:f>
        <x:v>FLR1857</x:v>
      </x:c>
      <x:c r="B33" s="133" t="str">
        <x:f>'10_Data'!B36</x:f>
        <x:v>Vale Oak Form</x:v>
      </x:c>
      <x:c r="C33" s="134" t="n">
        <x:f>'10_Data'!F36</x:f>
        <x:v>0.9194</x:v>
      </x:c>
      <x:c r="D33" s="135" t="n">
        <x:f>'10_Data'!G36</x:f>
        <x:v>2.8</x:v>
      </x:c>
      <x:c r="E33" s="136" t="n">
        <x:f>'10_Data'!H36</x:f>
        <x:v>746.65</x:v>
      </x:c>
      <x:c r="F33" s="133" t="str">
        <x:f>'10_Data'!I36</x:f>
        <x:v>REORDER</x:v>
      </x:c>
      <x:c r="G33" s="122"/>
      <x:c r="H33" s="79"/>
      <x:c r="I33" s="80"/>
      <x:c r="J33" s="80"/>
      <x:c r="K33" s="80"/>
      <x:c r="L33" s="80"/>
      <x:c r="M33" s="80"/>
      <x:c r="N33" s="80"/>
    </x:row>
    <x:row r="34" ht="22" customHeight="1">
      <x:c r="A34" s="133" t="str">
        <x:f>'10_Data'!A37</x:f>
        <x:v>FLR1859</x:v>
      </x:c>
      <x:c r="B34" s="133" t="str">
        <x:f>'10_Data'!B37</x:f>
        <x:v>Sable Oak Atelier</x:v>
      </x:c>
      <x:c r="C34" s="134" t="n">
        <x:f>'10_Data'!F37</x:f>
        <x:v>0.9219</x:v>
      </x:c>
      <x:c r="D34" s="135" t="n">
        <x:f>'10_Data'!G37</x:f>
        <x:v>2.7</x:v>
      </x:c>
      <x:c r="E34" s="136" t="n">
        <x:f>'10_Data'!H37</x:f>
        <x:v>553.8</x:v>
      </x:c>
      <x:c r="F34" s="133" t="str">
        <x:f>'10_Data'!I37</x:f>
        <x:v>REORDER</x:v>
      </x:c>
      <x:c r="G34" s="122"/>
      <x:c r="H34" s="79"/>
      <x:c r="I34" s="80"/>
      <x:c r="J34" s="80"/>
      <x:c r="K34" s="80"/>
      <x:c r="L34" s="80"/>
      <x:c r="M34" s="80"/>
      <x:c r="N34" s="80"/>
    </x:row>
    <x:row r="35" ht="22" customHeight="1">
      <x:c r="A35" s="133" t="str">
        <x:f>'10_Data'!A38</x:f>
        <x:v>LGT1803</x:v>
      </x:c>
      <x:c r="B35" s="133" t="str">
        <x:f>'10_Data'!B38</x:f>
        <x:v>Harbour Marble Vessel</x:v>
      </x:c>
      <x:c r="C35" s="134" t="n">
        <x:f>'10_Data'!F38</x:f>
        <x:v>0.9211</x:v>
      </x:c>
      <x:c r="D35" s="135" t="n">
        <x:f>'10_Data'!G38</x:f>
        <x:v>2.7</x:v>
      </x:c>
      <x:c r="E35" s="136" t="n">
        <x:f>'10_Data'!H38</x:f>
        <x:v>633.66</x:v>
      </x:c>
      <x:c r="F35" s="133" t="str">
        <x:f>'10_Data'!I38</x:f>
        <x:v>REORDER</x:v>
      </x:c>
      <x:c r="G35" s="122"/>
      <x:c r="H35" s="79"/>
      <x:c r="I35" s="80"/>
      <x:c r="J35" s="80"/>
      <x:c r="K35" s="80"/>
      <x:c r="L35" s="80"/>
      <x:c r="M35" s="80"/>
      <x:c r="N35" s="80"/>
    </x:row>
    <x:row r="36" ht="22" customHeight="1">
      <x:c r="A36" s="133" t="str">
        <x:f>'10_Data'!A39</x:f>
        <x:v>FUR0635</x:v>
      </x:c>
      <x:c r="B36" s="133" t="str">
        <x:f>'10_Data'!B39</x:f>
        <x:v>Luna Cotton Vessel</x:v>
      </x:c>
      <x:c r="C36" s="134" t="n">
        <x:f>'10_Data'!F39</x:f>
        <x:v>0.963</x:v>
      </x:c>
      <x:c r="D36" s="135" t="n">
        <x:f>'10_Data'!G39</x:f>
        <x:v>1.2</x:v>
      </x:c>
      <x:c r="E36" s="136" t="n">
        <x:f>'10_Data'!H39</x:f>
        <x:v>242.18</x:v>
      </x:c>
      <x:c r="F36" s="133" t="str">
        <x:f>'10_Data'!I39</x:f>
        <x:v>REORDER</x:v>
      </x:c>
      <x:c r="G36" s="122"/>
      <x:c r="H36" s="79"/>
      <x:c r="I36" s="80"/>
      <x:c r="J36" s="80"/>
      <x:c r="K36" s="80"/>
      <x:c r="L36" s="80"/>
      <x:c r="M36" s="80"/>
      <x:c r="N36" s="80"/>
    </x:row>
    <x:row r="37" ht="22" customHeight="1">
      <x:c r="A37" s="137" t="str">
        <x:f>'10_Data'!A40</x:f>
        <x:v>FUR0621</x:v>
      </x:c>
      <x:c r="B37" s="137" t="str">
        <x:f>'10_Data'!B40</x:f>
        <x:v>Sable Brass Line</x:v>
      </x:c>
      <x:c r="C37" s="138" t="n">
        <x:f>'10_Data'!F40</x:f>
        <x:v>0.9375</x:v>
      </x:c>
      <x:c r="D37" s="139" t="n">
        <x:f>'10_Data'!G40</x:f>
        <x:v>2.1</x:v>
      </x:c>
      <x:c r="E37" s="140" t="n">
        <x:f>'10_Data'!H40</x:f>
        <x:v>243.66</x:v>
      </x:c>
      <x:c r="F37" s="137" t="str">
        <x:f>'10_Data'!I40</x:f>
        <x:v>REORDER</x:v>
      </x:c>
      <x:c r="G37" s="122"/>
      <x:c r="H37" s="79"/>
      <x:c r="I37" s="80"/>
      <x:c r="J37" s="80"/>
      <x:c r="K37" s="80"/>
      <x:c r="L37" s="80"/>
      <x:c r="M37" s="80"/>
      <x:c r="N37" s="80"/>
    </x:row>
    <x:row r="38">
      <x:c r="A38" s="122"/>
      <x:c r="B38" s="122"/>
      <x:c r="C38" s="122"/>
      <x:c r="D38" s="122"/>
      <x:c r="E38" s="122"/>
      <x:c r="F38" s="122"/>
      <x:c r="G38" s="122"/>
      <x:c r="H38" s="122"/>
      <x:c r="I38" s="122"/>
      <x:c r="J38" s="122"/>
      <x:c r="K38" s="122"/>
      <x:c r="L38" s="122"/>
      <x:c r="M38" s="122"/>
      <x:c r="N38" s="122"/>
    </x:row>
  </x:sheetData>
  <x:mergeCells>
    <x:mergeCell ref="A1:N1"/>
    <x:mergeCell ref="A2:N3"/>
    <x:mergeCell ref="A4:N4"/>
    <x:mergeCell ref="A6:C6"/>
    <x:mergeCell ref="A7:C9"/>
    <x:mergeCell ref="D6:F6"/>
    <x:mergeCell ref="D7:F9"/>
    <x:mergeCell ref="G6:I6"/>
    <x:mergeCell ref="G7:I9"/>
    <x:mergeCell ref="J6:L6"/>
    <x:mergeCell ref="J7:L9"/>
    <x:mergeCell ref="M6:N6"/>
    <x:mergeCell ref="M7:N9"/>
    <x:mergeCell ref="A12:H12"/>
    <x:mergeCell ref="I12:N12"/>
    <x:mergeCell ref="A29:N29"/>
    <x:mergeCell ref="H31:N37"/>
  </x:mergeCells>
  <x:pageMargins left="0.7" right="0.7" top="0.75" bottom="0.75" header="0.3" footer="0.3"/>
  <x:drawing xmlns:r="http://schemas.openxmlformats.org/officeDocument/2006/relationships" r:id="R933d3b01577d45f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42" t="str">
        <x:v>N O R T H S T A R   ·   HOME &amp; LIVING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>
      <x:c r="A2" s="44" t="str">
        <x:v>Category &amp; Assortment Performance</x:v>
      </x:c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  <x:c r="K3" s="141"/>
      <x:c r="L3" s="141"/>
      <x:c r="M3" s="141"/>
      <x:c r="N3" s="141"/>
    </x:row>
    <x:row r="4" ht="22" customHeight="1">
      <x:c r="A4" s="46" t="str">
        <x:v>Assortment productivity · price architecture · inventory investment</x:v>
      </x:c>
      <x:c r="B4" s="141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</x:row>
    <x:row r="5">
      <x:c r="A5" s="141"/>
      <x:c r="B5" s="141"/>
      <x:c r="C5" s="141"/>
      <x:c r="D5" s="141"/>
      <x:c r="E5" s="141"/>
      <x:c r="F5" s="141"/>
      <x:c r="G5" s="141"/>
      <x:c r="H5" s="141"/>
      <x:c r="I5" s="141"/>
      <x:c r="J5" s="141"/>
      <x:c r="K5" s="141"/>
      <x:c r="L5" s="141"/>
      <x:c r="M5" s="141"/>
      <x:c r="N5" s="141"/>
    </x:row>
    <x:row r="6" ht="24" customHeight="1">
      <x:c r="A6" s="6" t="str">
        <x:v>Category</x:v>
      </x:c>
      <x:c r="B6" s="6" t="str">
        <x:v>SKUs</x:v>
      </x:c>
      <x:c r="C6" s="6" t="str">
        <x:v>Sales</x:v>
      </x:c>
      <x:c r="D6" s="6" t="str">
        <x:v>Sales Share</x:v>
      </x:c>
      <x:c r="E6" s="6" t="str">
        <x:v>Inventory Share</x:v>
      </x:c>
      <x:c r="F6" s="6" t="str">
        <x:v>Sales / SKU</x:v>
      </x:c>
      <x:c r="G6" s="6" t="str">
        <x:v>Sell-Through</x:v>
      </x:c>
      <x:c r="H6" s="6" t="str">
        <x:v>Investment Signal</x:v>
      </x:c>
      <x:c r="I6" s="141"/>
      <x:c r="J6" s="141"/>
      <x:c r="K6" s="141"/>
      <x:c r="L6" s="141"/>
      <x:c r="M6" s="141"/>
      <x:c r="N6" s="141"/>
    </x:row>
    <x:row r="7" ht="21" customHeight="1">
      <x:c r="A7" s="12" t="str">
        <x:f>'10_Data'!A2</x:f>
        <x:v>Tables</x:v>
      </x:c>
      <x:c r="B7" s="12" t="n">
        <x:f>'10_Data'!B2</x:f>
        <x:v>90</x:v>
      </x:c>
      <x:c r="C7" s="15" t="n">
        <x:f>'10_Data'!C2</x:f>
        <x:v>904950.7</x:v>
      </x:c>
      <x:c r="D7" s="18" t="n">
        <x:f>'10_Data'!G2</x:f>
        <x:v>0.0955</x:v>
      </x:c>
      <x:c r="E7" s="18" t="n">
        <x:f>'10_Data'!H2</x:f>
        <x:v>0.1095</x:v>
      </x:c>
      <x:c r="F7" s="15" t="n">
        <x:f>'10_Data'!I2</x:f>
        <x:v>10055.01</x:v>
      </x:c>
      <x:c r="G7" s="18" t="n">
        <x:f>'10_Data'!E2</x:f>
        <x:v>0.7739</x:v>
      </x:c>
      <x:c r="H7" s="12" t="str">
        <x:f>IF(D7-E7&gt;0.02,"INVEST",IF(E7-D7&gt;0.02,"REDUCE","HOLD"))</x:f>
        <x:v>HOLD</x:v>
      </x:c>
      <x:c r="I7" s="141"/>
      <x:c r="J7" s="141"/>
      <x:c r="K7" s="141"/>
      <x:c r="L7" s="141"/>
      <x:c r="M7" s="141"/>
      <x:c r="N7" s="141"/>
    </x:row>
    <x:row r="8" ht="21" customHeight="1">
      <x:c r="A8" s="13" t="str">
        <x:f>'10_Data'!A3</x:f>
        <x:v>Accent Furniture</x:v>
      </x:c>
      <x:c r="B8" s="13" t="n">
        <x:f>'10_Data'!B3</x:f>
        <x:v>125</x:v>
      </x:c>
      <x:c r="C8" s="16" t="n">
        <x:f>'10_Data'!C3</x:f>
        <x:v>823500.09</x:v>
      </x:c>
      <x:c r="D8" s="19" t="n">
        <x:f>'10_Data'!G3</x:f>
        <x:v>0.0869</x:v>
      </x:c>
      <x:c r="E8" s="19" t="n">
        <x:f>'10_Data'!H3</x:f>
        <x:v>0.101</x:v>
      </x:c>
      <x:c r="F8" s="16" t="n">
        <x:f>'10_Data'!I3</x:f>
        <x:v>6588</x:v>
      </x:c>
      <x:c r="G8" s="19" t="n">
        <x:f>'10_Data'!E3</x:f>
        <x:v>0.7751</x:v>
      </x:c>
      <x:c r="H8" s="13" t="str">
        <x:f>IF(D8-E8&gt;0.02,"INVEST",IF(E8-D8&gt;0.02,"REDUCE","HOLD"))</x:f>
        <x:v>HOLD</x:v>
      </x:c>
      <x:c r="I8" s="141"/>
      <x:c r="J8" s="141"/>
      <x:c r="K8" s="141"/>
      <x:c r="L8" s="141"/>
      <x:c r="M8" s="141"/>
      <x:c r="N8" s="141"/>
    </x:row>
    <x:row r="9" ht="21" customHeight="1">
      <x:c r="A9" s="13" t="str">
        <x:f>'10_Data'!A4</x:f>
        <x:v>Seating</x:v>
      </x:c>
      <x:c r="B9" s="13" t="n">
        <x:f>'10_Data'!B4</x:f>
        <x:v>85</x:v>
      </x:c>
      <x:c r="C9" s="16" t="n">
        <x:f>'10_Data'!C4</x:f>
        <x:v>756521.76</x:v>
      </x:c>
      <x:c r="D9" s="19" t="n">
        <x:f>'10_Data'!G4</x:f>
        <x:v>0.0798</x:v>
      </x:c>
      <x:c r="E9" s="19" t="n">
        <x:f>'10_Data'!H4</x:f>
        <x:v>0.1056</x:v>
      </x:c>
      <x:c r="F9" s="16" t="n">
        <x:f>'10_Data'!I4</x:f>
        <x:v>8900.26</x:v>
      </x:c>
      <x:c r="G9" s="19" t="n">
        <x:f>'10_Data'!E4</x:f>
        <x:v>0.7633</x:v>
      </x:c>
      <x:c r="H9" s="13" t="str">
        <x:f>IF(D9-E9&gt;0.02,"INVEST",IF(E9-D9&gt;0.02,"REDUCE","HOLD"))</x:f>
        <x:v>REDUCE</x:v>
      </x:c>
      <x:c r="I9" s="141"/>
      <x:c r="J9" s="141"/>
      <x:c r="K9" s="141"/>
      <x:c r="L9" s="141"/>
      <x:c r="M9" s="141"/>
      <x:c r="N9" s="141"/>
    </x:row>
    <x:row r="10" ht="21" customHeight="1">
      <x:c r="A10" s="13" t="str">
        <x:f>'10_Data'!A5</x:f>
        <x:v>Floor Lamps</x:v>
      </x:c>
      <x:c r="B10" s="13" t="n">
        <x:f>'10_Data'!B5</x:f>
        <x:v>45</x:v>
      </x:c>
      <x:c r="C10" s="16" t="n">
        <x:f>'10_Data'!C5</x:f>
        <x:v>670538.26</x:v>
      </x:c>
      <x:c r="D10" s="19" t="n">
        <x:f>'10_Data'!G5</x:f>
        <x:v>0.0707</x:v>
      </x:c>
      <x:c r="E10" s="19" t="n">
        <x:f>'10_Data'!H5</x:f>
        <x:v>0.0455</x:v>
      </x:c>
      <x:c r="F10" s="16" t="n">
        <x:f>'10_Data'!I5</x:f>
        <x:v>14900.85</x:v>
      </x:c>
      <x:c r="G10" s="19" t="n">
        <x:f>'10_Data'!E5</x:f>
        <x:v>0.8605</x:v>
      </x:c>
      <x:c r="H10" s="13" t="str">
        <x:f>IF(D10-E10&gt;0.02,"INVEST",IF(E10-D10&gt;0.02,"REDUCE","HOLD"))</x:f>
        <x:v>INVEST</x:v>
      </x:c>
      <x:c r="I10" s="141"/>
      <x:c r="J10" s="141"/>
      <x:c r="K10" s="141"/>
      <x:c r="L10" s="141"/>
      <x:c r="M10" s="141"/>
      <x:c r="N10" s="141"/>
    </x:row>
    <x:row r="11" ht="21" customHeight="1">
      <x:c r="A11" s="13" t="str">
        <x:f>'10_Data'!A6</x:f>
        <x:v>Pendants</x:v>
      </x:c>
      <x:c r="B11" s="13" t="n">
        <x:f>'10_Data'!B6</x:f>
        <x:v>40</x:v>
      </x:c>
      <x:c r="C11" s="16" t="n">
        <x:f>'10_Data'!C6</x:f>
        <x:v>656663.72</x:v>
      </x:c>
      <x:c r="D11" s="19" t="n">
        <x:f>'10_Data'!G6</x:f>
        <x:v>0.0693</x:v>
      </x:c>
      <x:c r="E11" s="19" t="n">
        <x:f>'10_Data'!H6</x:f>
        <x:v>0.05</x:v>
      </x:c>
      <x:c r="F11" s="16" t="n">
        <x:f>'10_Data'!I6</x:f>
        <x:v>16416.59</x:v>
      </x:c>
      <x:c r="G11" s="19" t="n">
        <x:f>'10_Data'!E6</x:f>
        <x:v>0.8486</x:v>
      </x:c>
      <x:c r="H11" s="13" t="str">
        <x:f>IF(D11-E11&gt;0.02,"INVEST",IF(E11-D11&gt;0.02,"REDUCE","HOLD"))</x:f>
        <x:v>HOLD</x:v>
      </x:c>
      <x:c r="I11" s="141"/>
      <x:c r="J11" s="141"/>
      <x:c r="K11" s="141"/>
      <x:c r="L11" s="141"/>
      <x:c r="M11" s="141"/>
      <x:c r="N11" s="141"/>
    </x:row>
    <x:row r="12" ht="21" customHeight="1">
      <x:c r="A12" s="13" t="str">
        <x:f>'10_Data'!A7</x:f>
        <x:v>Table Lamps</x:v>
      </x:c>
      <x:c r="B12" s="13" t="n">
        <x:f>'10_Data'!B7</x:f>
        <x:v>65</x:v>
      </x:c>
      <x:c r="C12" s="16" t="n">
        <x:f>'10_Data'!C7</x:f>
        <x:v>629281.88</x:v>
      </x:c>
      <x:c r="D12" s="19" t="n">
        <x:f>'10_Data'!G7</x:f>
        <x:v>0.0664</x:v>
      </x:c>
      <x:c r="E12" s="19" t="n">
        <x:f>'10_Data'!H7</x:f>
        <x:v>0.0383</x:v>
      </x:c>
      <x:c r="F12" s="16" t="n">
        <x:f>'10_Data'!I7</x:f>
        <x:v>9681.26</x:v>
      </x:c>
      <x:c r="G12" s="19" t="n">
        <x:f>'10_Data'!E7</x:f>
        <x:v>0.8672</x:v>
      </x:c>
      <x:c r="H12" s="13" t="str">
        <x:f>IF(D12-E12&gt;0.02,"INVEST",IF(E12-D12&gt;0.02,"REDUCE","HOLD"))</x:f>
        <x:v>INVEST</x:v>
      </x:c>
      <x:c r="I12" s="141"/>
      <x:c r="J12" s="141"/>
      <x:c r="K12" s="141"/>
      <x:c r="L12" s="141"/>
      <x:c r="M12" s="141"/>
      <x:c r="N12" s="141"/>
    </x:row>
    <x:row r="13" ht="21" customHeight="1">
      <x:c r="A13" s="13" t="str">
        <x:f>'10_Data'!A8</x:f>
        <x:v>Wall Decor</x:v>
      </x:c>
      <x:c r="B13" s="13" t="n">
        <x:f>'10_Data'!B8</x:f>
        <x:v>160</x:v>
      </x:c>
      <x:c r="C13" s="16" t="n">
        <x:f>'10_Data'!C8</x:f>
        <x:v>525837.31</x:v>
      </x:c>
      <x:c r="D13" s="19" t="n">
        <x:f>'10_Data'!G8</x:f>
        <x:v>0.0555</x:v>
      </x:c>
      <x:c r="E13" s="19" t="n">
        <x:f>'10_Data'!H8</x:f>
        <x:v>0.0643</x:v>
      </x:c>
      <x:c r="F13" s="16" t="n">
        <x:f>'10_Data'!I8</x:f>
        <x:v>3286.48</x:v>
      </x:c>
      <x:c r="G13" s="19" t="n">
        <x:f>'10_Data'!E8</x:f>
        <x:v>0.7707</x:v>
      </x:c>
      <x:c r="H13" s="13" t="str">
        <x:f>IF(D13-E13&gt;0.02,"INVEST",IF(E13-D13&gt;0.02,"REDUCE","HOLD"))</x:f>
        <x:v>HOLD</x:v>
      </x:c>
      <x:c r="I13" s="141"/>
      <x:c r="J13" s="141"/>
      <x:c r="K13" s="141"/>
      <x:c r="L13" s="141"/>
      <x:c r="M13" s="141"/>
      <x:c r="N13" s="141"/>
    </x:row>
    <x:row r="14" ht="21" customHeight="1">
      <x:c r="A14" s="13" t="str">
        <x:f>'10_Data'!A9</x:f>
        <x:v>Cookware</x:v>
      </x:c>
      <x:c r="B14" s="13" t="n">
        <x:f>'10_Data'!B9</x:f>
        <x:v>120</x:v>
      </x:c>
      <x:c r="C14" s="16" t="n">
        <x:f>'10_Data'!C9</x:f>
        <x:v>509721.11</x:v>
      </x:c>
      <x:c r="D14" s="19" t="n">
        <x:f>'10_Data'!G9</x:f>
        <x:v>0.0538</x:v>
      </x:c>
      <x:c r="E14" s="19" t="n">
        <x:f>'10_Data'!H9</x:f>
        <x:v>0.048</x:v>
      </x:c>
      <x:c r="F14" s="16" t="n">
        <x:f>'10_Data'!I9</x:f>
        <x:v>4247.68</x:v>
      </x:c>
      <x:c r="G14" s="19" t="n">
        <x:f>'10_Data'!E9</x:f>
        <x:v>0.8201</x:v>
      </x:c>
      <x:c r="H14" s="13" t="str">
        <x:f>IF(D14-E14&gt;0.02,"INVEST",IF(E14-D14&gt;0.02,"REDUCE","HOLD"))</x:f>
        <x:v>HOLD</x:v>
      </x:c>
      <x:c r="I14" s="141"/>
      <x:c r="J14" s="141"/>
      <x:c r="K14" s="141"/>
      <x:c r="L14" s="141"/>
      <x:c r="M14" s="141"/>
      <x:c r="N14" s="141"/>
    </x:row>
    <x:row r="15" ht="21" customHeight="1">
      <x:c r="A15" s="13" t="str">
        <x:f>'10_Data'!A10</x:f>
        <x:v>Decorative Objects</x:v>
      </x:c>
      <x:c r="B15" s="13" t="n">
        <x:f>'10_Data'!B10</x:f>
        <x:v>190</x:v>
      </x:c>
      <x:c r="C15" s="16" t="n">
        <x:f>'10_Data'!C10</x:f>
        <x:v>453747.69</x:v>
      </x:c>
      <x:c r="D15" s="19" t="n">
        <x:f>'10_Data'!G10</x:f>
        <x:v>0.0479</x:v>
      </x:c>
      <x:c r="E15" s="19" t="n">
        <x:f>'10_Data'!H10</x:f>
        <x:v>0.0579</x:v>
      </x:c>
      <x:c r="F15" s="16" t="n">
        <x:f>'10_Data'!I10</x:f>
        <x:v>2388.15</x:v>
      </x:c>
      <x:c r="G15" s="19" t="n">
        <x:f>'10_Data'!E10</x:f>
        <x:v>0.7736</x:v>
      </x:c>
      <x:c r="H15" s="13" t="str">
        <x:f>IF(D15-E15&gt;0.02,"INVEST",IF(E15-D15&gt;0.02,"REDUCE","HOLD"))</x:f>
        <x:v>HOLD</x:v>
      </x:c>
      <x:c r="I15" s="141"/>
      <x:c r="J15" s="141"/>
      <x:c r="K15" s="141"/>
      <x:c r="L15" s="141"/>
      <x:c r="M15" s="141"/>
      <x:c r="N15" s="141"/>
    </x:row>
    <x:row r="16" ht="21" customHeight="1">
      <x:c r="A16" s="13" t="str">
        <x:f>'10_Data'!A11</x:f>
        <x:v>Sheets</x:v>
      </x:c>
      <x:c r="B16" s="13" t="n">
        <x:f>'10_Data'!B11</x:f>
        <x:v>100</x:v>
      </x:c>
      <x:c r="C16" s="16" t="n">
        <x:f>'10_Data'!C11</x:f>
        <x:v>426807.94</x:v>
      </x:c>
      <x:c r="D16" s="19" t="n">
        <x:f>'10_Data'!G11</x:f>
        <x:v>0.045</x:v>
      </x:c>
      <x:c r="E16" s="19" t="n">
        <x:f>'10_Data'!H11</x:f>
        <x:v>0.0405</x:v>
      </x:c>
      <x:c r="F16" s="16" t="n">
        <x:f>'10_Data'!I11</x:f>
        <x:v>4268.08</x:v>
      </x:c>
      <x:c r="G16" s="19" t="n">
        <x:f>'10_Data'!E11</x:f>
        <x:v>0.8152</x:v>
      </x:c>
      <x:c r="H16" s="13" t="str">
        <x:f>IF(D16-E16&gt;0.02,"INVEST",IF(E16-D16&gt;0.02,"REDUCE","HOLD"))</x:f>
        <x:v>HOLD</x:v>
      </x:c>
      <x:c r="I16" s="141"/>
      <x:c r="J16" s="141"/>
      <x:c r="K16" s="141"/>
      <x:c r="L16" s="141"/>
      <x:c r="M16" s="141"/>
      <x:c r="N16" s="141"/>
    </x:row>
    <x:row r="17" ht="21" customHeight="1">
      <x:c r="A17" s="13" t="str">
        <x:f>'10_Data'!A12</x:f>
        <x:v>Duvets</x:v>
      </x:c>
      <x:c r="B17" s="13" t="n">
        <x:f>'10_Data'!B12</x:f>
        <x:v>80</x:v>
      </x:c>
      <x:c r="C17" s="16" t="n">
        <x:f>'10_Data'!C12</x:f>
        <x:v>389029.77</x:v>
      </x:c>
      <x:c r="D17" s="19" t="n">
        <x:f>'10_Data'!G12</x:f>
        <x:v>0.041</x:v>
      </x:c>
      <x:c r="E17" s="19" t="n">
        <x:f>'10_Data'!H12</x:f>
        <x:v>0.0427</x:v>
      </x:c>
      <x:c r="F17" s="16" t="n">
        <x:f>'10_Data'!I12</x:f>
        <x:v>4862.87</x:v>
      </x:c>
      <x:c r="G17" s="19" t="n">
        <x:f>'10_Data'!E12</x:f>
        <x:v>0.7955</x:v>
      </x:c>
      <x:c r="H17" s="13" t="str">
        <x:f>IF(D17-E17&gt;0.02,"INVEST",IF(E17-D17&gt;0.02,"REDUCE","HOLD"))</x:f>
        <x:v>HOLD</x:v>
      </x:c>
      <x:c r="I17" s="141"/>
      <x:c r="J17" s="141"/>
      <x:c r="K17" s="141"/>
      <x:c r="L17" s="141"/>
      <x:c r="M17" s="141"/>
      <x:c r="N17" s="141"/>
    </x:row>
    <x:row r="18" ht="21" customHeight="1">
      <x:c r="A18" s="14" t="str">
        <x:f>'10_Data'!A13</x:f>
        <x:v>Mirrors</x:v>
      </x:c>
      <x:c r="B18" s="14" t="n">
        <x:f>'10_Data'!B13</x:f>
        <x:v>80</x:v>
      </x:c>
      <x:c r="C18" s="17" t="n">
        <x:f>'10_Data'!C13</x:f>
        <x:v>322332.4</x:v>
      </x:c>
      <x:c r="D18" s="20" t="n">
        <x:f>'10_Data'!G13</x:f>
        <x:v>0.034</x:v>
      </x:c>
      <x:c r="E18" s="20" t="n">
        <x:f>'10_Data'!H13</x:f>
        <x:v>0.0444</x:v>
      </x:c>
      <x:c r="F18" s="17" t="n">
        <x:f>'10_Data'!I13</x:f>
        <x:v>4029.15</x:v>
      </x:c>
      <x:c r="G18" s="20" t="n">
        <x:f>'10_Data'!E13</x:f>
        <x:v>0.7602</x:v>
      </x:c>
      <x:c r="H18" s="14" t="str">
        <x:f>IF(D18-E18&gt;0.02,"INVEST",IF(E18-D18&gt;0.02,"REDUCE","HOLD"))</x:f>
        <x:v>HOLD</x:v>
      </x:c>
      <x:c r="I18" s="141"/>
      <x:c r="J18" s="141"/>
      <x:c r="K18" s="141"/>
      <x:c r="L18" s="141"/>
      <x:c r="M18" s="141"/>
      <x:c r="N18" s="141"/>
    </x:row>
    <x:row r="19">
      <x:c r="A19" s="141"/>
      <x:c r="B19" s="141"/>
      <x:c r="C19" s="141"/>
      <x:c r="D19" s="141"/>
      <x:c r="E19" s="141"/>
      <x:c r="F19" s="141"/>
      <x:c r="G19" s="141"/>
      <x:c r="H19" s="141"/>
      <x:c r="I19" s="141"/>
      <x:c r="J19" s="141"/>
      <x:c r="K19" s="141"/>
      <x:c r="L19" s="141"/>
      <x:c r="M19" s="141"/>
      <x:c r="N19" s="141"/>
    </x:row>
    <x:row r="20">
      <x:c r="A20" s="141"/>
      <x:c r="B20" s="141"/>
      <x:c r="C20" s="141"/>
      <x:c r="D20" s="141"/>
      <x:c r="E20" s="141"/>
      <x:c r="F20" s="141"/>
      <x:c r="G20" s="141"/>
      <x:c r="H20" s="141"/>
      <x:c r="I20" s="141"/>
      <x:c r="J20" s="141"/>
      <x:c r="K20" s="141"/>
      <x:c r="L20" s="141"/>
      <x:c r="M20" s="141"/>
      <x:c r="N20" s="141"/>
    </x:row>
    <x:row r="21" ht="22" customHeight="1">
      <x:c r="A21" s="60" t="str">
        <x:v>ASSORTMENT PRODUCTIVITY</x:v>
      </x:c>
      <x:c r="B21" s="60"/>
      <x:c r="C21" s="60"/>
      <x:c r="D21" s="60"/>
      <x:c r="E21" s="60"/>
      <x:c r="F21" s="60"/>
      <x:c r="G21" s="60"/>
      <x:c r="H21" s="141"/>
      <x:c r="I21" s="60" t="str">
        <x:v>PRICE ARCHITECTURE</x:v>
      </x:c>
      <x:c r="J21" s="60"/>
      <x:c r="K21" s="60"/>
      <x:c r="L21" s="60"/>
      <x:c r="M21" s="60"/>
      <x:c r="N21" s="60"/>
    </x:row>
    <x:row r="22">
      <x:c r="A22" s="141"/>
      <x:c r="B22" s="141"/>
      <x:c r="C22" s="141"/>
      <x:c r="D22" s="141"/>
      <x:c r="E22" s="141"/>
      <x:c r="F22" s="141"/>
      <x:c r="G22" s="141"/>
      <x:c r="H22" s="141"/>
      <x:c r="I22" s="141"/>
      <x:c r="J22" s="141"/>
      <x:c r="K22" s="141"/>
      <x:c r="L22" s="141"/>
      <x:c r="M22" s="141"/>
      <x:c r="N22" s="141"/>
    </x:row>
    <x:row r="23" ht="24" customHeight="1">
      <x:c r="A23" s="141" t="str">
        <x:f>'10_Data'!A2</x:f>
        <x:v>Tables</x:v>
      </x:c>
      <x:c r="B23" s="141" t="n">
        <x:f>'10_Data'!I2</x:f>
        <x:v>10055.01</x:v>
      </x:c>
      <x:c r="C23" s="141"/>
      <x:c r="D23" s="141"/>
      <x:c r="E23" s="141"/>
      <x:c r="F23" s="141"/>
      <x:c r="G23" s="141"/>
      <x:c r="H23" s="141"/>
      <x:c r="I23" s="6" t="str">
        <x:v>Band</x:v>
      </x:c>
      <x:c r="J23" s="6" t="str">
        <x:v>Sales</x:v>
      </x:c>
      <x:c r="K23" s="6" t="str">
        <x:v>Inventory</x:v>
      </x:c>
      <x:c r="L23" s="6" t="str">
        <x:v>Sell-Through</x:v>
      </x:c>
      <x:c r="M23" s="141"/>
      <x:c r="N23" s="141"/>
    </x:row>
    <x:row r="24" ht="21" customHeight="1">
      <x:c r="A24" s="141" t="str">
        <x:f>'10_Data'!A3</x:f>
        <x:v>Accent Furniture</x:v>
      </x:c>
      <x:c r="B24" s="141" t="n">
        <x:f>'10_Data'!I3</x:f>
        <x:v>6588</x:v>
      </x:c>
      <x:c r="C24" s="141"/>
      <x:c r="D24" s="141"/>
      <x:c r="E24" s="141"/>
      <x:c r="F24" s="141"/>
      <x:c r="G24" s="141"/>
      <x:c r="H24" s="141"/>
      <x:c r="I24" s="12" t="str">
        <x:f>'10_Data'!W15</x:f>
        <x:v>Entry</x:v>
      </x:c>
      <x:c r="J24" s="15" t="n">
        <x:f>'10_Data'!X15</x:f>
        <x:v>35909.01</x:v>
      </x:c>
      <x:c r="K24" s="15" t="n">
        <x:f>'10_Data'!Y15</x:f>
        <x:v>3628.73</x:v>
      </x:c>
      <x:c r="L24" s="18" t="n">
        <x:f>'10_Data'!Z15</x:f>
        <x:v>0.8193</x:v>
      </x:c>
      <x:c r="M24" s="141"/>
      <x:c r="N24" s="141"/>
    </x:row>
    <x:row r="25" ht="21" customHeight="1">
      <x:c r="A25" s="141" t="str">
        <x:f>'10_Data'!A4</x:f>
        <x:v>Seating</x:v>
      </x:c>
      <x:c r="B25" s="141" t="n">
        <x:f>'10_Data'!I4</x:f>
        <x:v>8900.26</x:v>
      </x:c>
      <x:c r="C25" s="141"/>
      <x:c r="D25" s="141"/>
      <x:c r="E25" s="141"/>
      <x:c r="F25" s="141"/>
      <x:c r="G25" s="141"/>
      <x:c r="H25" s="141"/>
      <x:c r="I25" s="13" t="str">
        <x:f>'10_Data'!W16</x:f>
        <x:v>Good</x:v>
      </x:c>
      <x:c r="J25" s="16" t="n">
        <x:f>'10_Data'!X16</x:f>
        <x:v>314552.14</x:v>
      </x:c>
      <x:c r="K25" s="16" t="n">
        <x:f>'10_Data'!Y16</x:f>
        <x:v>34663.42</x:v>
      </x:c>
      <x:c r="L25" s="19" t="n">
        <x:f>'10_Data'!Z16</x:f>
        <x:v>0.8117</x:v>
      </x:c>
      <x:c r="M25" s="141"/>
      <x:c r="N25" s="141"/>
    </x:row>
    <x:row r="26" ht="21" customHeight="1">
      <x:c r="A26" s="141" t="str">
        <x:f>'10_Data'!A5</x:f>
        <x:v>Floor Lamps</x:v>
      </x:c>
      <x:c r="B26" s="141" t="n">
        <x:f>'10_Data'!I5</x:f>
        <x:v>14900.85</x:v>
      </x:c>
      <x:c r="C26" s="141"/>
      <x:c r="D26" s="141"/>
      <x:c r="E26" s="141"/>
      <x:c r="F26" s="141"/>
      <x:c r="G26" s="141"/>
      <x:c r="H26" s="141"/>
      <x:c r="I26" s="13" t="str">
        <x:f>'10_Data'!W17</x:f>
        <x:v>Better</x:v>
      </x:c>
      <x:c r="J26" s="16" t="n">
        <x:f>'10_Data'!X17</x:f>
        <x:v>971644.85</x:v>
      </x:c>
      <x:c r="K26" s="16" t="n">
        <x:f>'10_Data'!Y17</x:f>
        <x:v>111985.51</x:v>
      </x:c>
      <x:c r="L26" s="19" t="n">
        <x:f>'10_Data'!Z17</x:f>
        <x:v>0.8062</x:v>
      </x:c>
      <x:c r="M26" s="141"/>
      <x:c r="N26" s="141"/>
    </x:row>
    <x:row r="27" ht="21" customHeight="1">
      <x:c r="A27" s="141" t="str">
        <x:f>'10_Data'!A6</x:f>
        <x:v>Pendants</x:v>
      </x:c>
      <x:c r="B27" s="141" t="n">
        <x:f>'10_Data'!I6</x:f>
        <x:v>16416.59</x:v>
      </x:c>
      <x:c r="C27" s="141"/>
      <x:c r="D27" s="141"/>
      <x:c r="E27" s="141"/>
      <x:c r="F27" s="141"/>
      <x:c r="G27" s="141"/>
      <x:c r="H27" s="141"/>
      <x:c r="I27" s="14" t="str">
        <x:f>'10_Data'!W18</x:f>
        <x:v>Best</x:v>
      </x:c>
      <x:c r="J27" s="17" t="n">
        <x:f>'10_Data'!X18</x:f>
        <x:v>8155870.81</x:v>
      </x:c>
      <x:c r="K27" s="17" t="n">
        <x:f>'10_Data'!Y18</x:f>
        <x:v>989336.55</x:v>
      </x:c>
      <x:c r="L27" s="20" t="n">
        <x:f>'10_Data'!Z18</x:f>
        <x:v>0.7995</x:v>
      </x:c>
      <x:c r="M27" s="141"/>
      <x:c r="N27" s="141"/>
    </x:row>
    <x:row r="28">
      <x:c r="A28" s="141" t="str">
        <x:f>'10_Data'!A7</x:f>
        <x:v>Table Lamps</x:v>
      </x:c>
      <x:c r="B28" s="141" t="n">
        <x:f>'10_Data'!I7</x:f>
        <x:v>9681.26</x:v>
      </x:c>
      <x:c r="C28" s="141"/>
      <x:c r="D28" s="141"/>
      <x:c r="E28" s="141"/>
      <x:c r="F28" s="141"/>
      <x:c r="G28" s="141"/>
      <x:c r="H28" s="141"/>
      <x:c r="I28" s="141"/>
      <x:c r="J28" s="141"/>
      <x:c r="K28" s="141"/>
      <x:c r="L28" s="141"/>
      <x:c r="M28" s="141"/>
      <x:c r="N28" s="141"/>
    </x:row>
    <x:row r="29">
      <x:c r="A29" s="141" t="str">
        <x:f>'10_Data'!A8</x:f>
        <x:v>Wall Decor</x:v>
      </x:c>
      <x:c r="B29" s="141" t="n">
        <x:f>'10_Data'!I8</x:f>
        <x:v>3286.48</x:v>
      </x:c>
      <x:c r="C29" s="141"/>
      <x:c r="D29" s="141"/>
      <x:c r="E29" s="141"/>
      <x:c r="F29" s="141"/>
      <x:c r="G29" s="141"/>
      <x:c r="H29" s="141"/>
      <x:c r="I29" s="141"/>
      <x:c r="J29" s="141"/>
      <x:c r="K29" s="141"/>
      <x:c r="L29" s="141"/>
      <x:c r="M29" s="141"/>
      <x:c r="N29" s="141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86" t="str">
        <x:v>CATEGORY DECISION
Lighting produces the strongest sales per SKU with materially lower inventory share. Increase breadth selectively in table and pendant lighting; reduce depth in slow-moving premium décor and storage.</x:v>
      </x:c>
      <x:c r="J30" s="87"/>
      <x:c r="K30" s="87"/>
      <x:c r="L30" s="87"/>
      <x:c r="M30" s="87"/>
      <x:c r="N30" s="87"/>
    </x:row>
    <x:row r="31">
      <x:c r="A31" s="141"/>
      <x:c r="B31" s="141"/>
      <x:c r="C31" s="141"/>
      <x:c r="D31" s="141"/>
      <x:c r="E31" s="141"/>
      <x:c r="F31" s="141"/>
      <x:c r="G31" s="141"/>
      <x:c r="H31" s="141"/>
      <x:c r="I31" s="86"/>
      <x:c r="J31" s="87"/>
      <x:c r="K31" s="87"/>
      <x:c r="L31" s="87"/>
      <x:c r="M31" s="87"/>
      <x:c r="N31" s="87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86"/>
      <x:c r="J32" s="87"/>
      <x:c r="K32" s="87"/>
      <x:c r="L32" s="87"/>
      <x:c r="M32" s="87"/>
      <x:c r="N32" s="87"/>
    </x:row>
    <x:row r="33">
      <x:c r="A33" s="141"/>
      <x:c r="B33" s="141"/>
      <x:c r="C33" s="141"/>
      <x:c r="D33" s="141"/>
      <x:c r="E33" s="141"/>
      <x:c r="F33" s="141"/>
      <x:c r="G33" s="141"/>
      <x:c r="H33" s="141"/>
      <x:c r="I33" s="86"/>
      <x:c r="J33" s="87"/>
      <x:c r="K33" s="87"/>
      <x:c r="L33" s="87"/>
      <x:c r="M33" s="87"/>
      <x:c r="N33" s="87"/>
    </x:row>
    <x:row r="34">
      <x:c r="A34" s="141"/>
      <x:c r="B34" s="141"/>
      <x:c r="C34" s="141"/>
      <x:c r="D34" s="141"/>
      <x:c r="E34" s="141"/>
      <x:c r="F34" s="141"/>
      <x:c r="G34" s="141"/>
      <x:c r="H34" s="141"/>
      <x:c r="I34" s="86"/>
      <x:c r="J34" s="87"/>
      <x:c r="K34" s="87"/>
      <x:c r="L34" s="87"/>
      <x:c r="M34" s="87"/>
      <x:c r="N34" s="87"/>
    </x:row>
    <x:row r="35">
      <x:c r="A35" s="141"/>
      <x:c r="B35" s="141"/>
      <x:c r="C35" s="141"/>
      <x:c r="D35" s="141"/>
      <x:c r="E35" s="141"/>
      <x:c r="F35" s="141"/>
      <x:c r="G35" s="141"/>
      <x:c r="H35" s="141"/>
      <x:c r="I35" s="86"/>
      <x:c r="J35" s="87"/>
      <x:c r="K35" s="87"/>
      <x:c r="L35" s="87"/>
      <x:c r="M35" s="87"/>
      <x:c r="N35" s="87"/>
    </x:row>
    <x:row r="36">
      <x:c r="A36" s="141"/>
      <x:c r="B36" s="141"/>
      <x:c r="C36" s="141"/>
      <x:c r="D36" s="141"/>
      <x:c r="E36" s="141"/>
      <x:c r="F36" s="141"/>
      <x:c r="G36" s="141"/>
      <x:c r="H36" s="141"/>
      <x:c r="I36" s="141"/>
      <x:c r="J36" s="141"/>
      <x:c r="K36" s="141"/>
      <x:c r="L36" s="141"/>
      <x:c r="M36" s="141"/>
      <x:c r="N36" s="141"/>
    </x:row>
    <x:row r="37">
      <x:c r="A37" s="141"/>
      <x:c r="B37" s="141"/>
      <x:c r="C37" s="141"/>
      <x:c r="D37" s="141"/>
      <x:c r="E37" s="141"/>
      <x:c r="F37" s="141"/>
      <x:c r="G37" s="141"/>
      <x:c r="H37" s="141"/>
      <x:c r="I37" s="141"/>
      <x:c r="J37" s="141"/>
      <x:c r="K37" s="141"/>
      <x:c r="L37" s="141"/>
      <x:c r="M37" s="141"/>
      <x:c r="N37" s="141"/>
    </x:row>
    <x:row r="38">
      <x:c r="A38" s="141"/>
      <x:c r="B38" s="141"/>
      <x:c r="C38" s="141"/>
      <x:c r="D38" s="141"/>
      <x:c r="E38" s="141"/>
      <x:c r="F38" s="141"/>
      <x:c r="G38" s="141"/>
      <x:c r="H38" s="141"/>
      <x:c r="I38" s="141"/>
      <x:c r="J38" s="141"/>
      <x:c r="K38" s="141"/>
      <x:c r="L38" s="141"/>
      <x:c r="M38" s="141"/>
      <x:c r="N38" s="141"/>
    </x:row>
  </x:sheetData>
  <x:mergeCells>
    <x:mergeCell ref="A1:N1"/>
    <x:mergeCell ref="A2:N3"/>
    <x:mergeCell ref="A4:N4"/>
    <x:mergeCell ref="A21:G21"/>
    <x:mergeCell ref="I21:N21"/>
    <x:mergeCell ref="I30:N35"/>
  </x:mergeCells>
  <x:conditionalFormatting sqref="H7:H18">
    <x:cfRule type="expression" dxfId="0" priority="1">
      <x:formula>H7="INVEST"</x:formula>
    </x:cfRule>
    <x:cfRule type="expression" dxfId="1" priority="2">
      <x:formula>H7="REDUCE"</x:formula>
    </x:cfRule>
  </x:conditionalFormatting>
  <x:pageMargins left="0.7" right="0.7" top="0.75" bottom="0.75" header="0.3" footer="0.3"/>
  <x:drawing xmlns:r="http://schemas.openxmlformats.org/officeDocument/2006/relationships" r:id="R5a2b92011ba14d5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42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42" t="str">
        <x:v>N O R T H S T A R   ·   HOME &amp; LIVING</x:v>
      </x:c>
      <x:c r="B1" s="141"/>
      <x:c r="C1" s="141"/>
      <x:c r="D1" s="141"/>
      <x:c r="E1" s="141"/>
      <x:c r="F1" s="141"/>
      <x:c r="G1" s="141"/>
      <x:c r="H1" s="141"/>
      <x:c r="I1" s="141"/>
      <x:c r="J1" s="141"/>
    </x:row>
    <x:row r="2">
      <x:c r="A2" s="44" t="str">
        <x:v>Open-to-Buy</x:v>
      </x:c>
      <x:c r="B2" s="141"/>
      <x:c r="C2" s="141"/>
      <x:c r="D2" s="141"/>
      <x:c r="E2" s="141"/>
      <x:c r="F2" s="141"/>
      <x:c r="G2" s="141"/>
      <x:c r="H2" s="141"/>
      <x:c r="I2" s="141"/>
      <x:c r="J2" s="141"/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</x:row>
    <x:row r="4" ht="22" customHeight="1">
      <x:c r="A4" s="46" t="str">
        <x:v>Home Décor · FY2026 · monthly purchasing envelope</x:v>
      </x:c>
      <x:c r="B4" s="141"/>
      <x:c r="C4" s="141"/>
      <x:c r="D4" s="141"/>
      <x:c r="E4" s="141"/>
      <x:c r="F4" s="141"/>
      <x:c r="G4" s="141"/>
      <x:c r="H4" s="141"/>
      <x:c r="I4" s="141"/>
      <x:c r="J4" s="141"/>
    </x:row>
    <x:row r="5">
      <x:c r="A5" s="141"/>
      <x:c r="B5" s="141"/>
      <x:c r="C5" s="141"/>
      <x:c r="D5" s="141"/>
      <x:c r="E5" s="141"/>
      <x:c r="F5" s="141"/>
      <x:c r="G5" s="141"/>
      <x:c r="H5" s="141"/>
      <x:c r="I5" s="141"/>
      <x:c r="J5" s="141"/>
    </x:row>
    <x:row r="6" ht="24" customHeight="1">
      <x:c r="A6" s="6" t="str">
        <x:v>Month</x:v>
      </x:c>
      <x:c r="B6" s="6" t="str">
        <x:v>Sales Plan</x:v>
      </x:c>
      <x:c r="C6" s="6" t="str">
        <x:v>BOM Inventory</x:v>
      </x:c>
      <x:c r="D6" s="6" t="str">
        <x:v>Planned Receipts</x:v>
      </x:c>
      <x:c r="E6" s="6" t="str">
        <x:v>Markdowns</x:v>
      </x:c>
      <x:c r="F6" s="6" t="str">
        <x:v>EOM Target</x:v>
      </x:c>
      <x:c r="G6" s="6" t="str">
        <x:v>On Order</x:v>
      </x:c>
      <x:c r="H6" s="6" t="str">
        <x:v>Planned Purchases</x:v>
      </x:c>
      <x:c r="I6" s="6" t="str">
        <x:v>Open-to-Buy</x:v>
      </x:c>
      <x:c r="J6" s="6" t="str">
        <x:v>Status</x:v>
      </x:c>
    </x:row>
    <x:row r="7" ht="21" customHeight="1">
      <x:c r="A7" s="12" t="str">
        <x:v>Sep 2026</x:v>
      </x:c>
      <x:c r="B7" s="15" t="n">
        <x:v>210000</x:v>
      </x:c>
      <x:c r="C7" s="15" t="n">
        <x:v>325000</x:v>
      </x:c>
      <x:c r="D7" s="15" t="n">
        <x:v>185000</x:v>
      </x:c>
      <x:c r="E7" s="18" t="n">
        <x:v>0.03</x:v>
      </x:c>
      <x:c r="F7" s="88" t="n">
        <x:v>310000</x:v>
      </x:c>
      <x:c r="G7" s="88" t="n">
        <x:v>95000</x:v>
      </x:c>
      <x:c r="H7" s="88" t="n">
        <x:f>B7+F7-C7+B7*E7</x:f>
        <x:v>201300</x:v>
      </x:c>
      <x:c r="I7" s="91" t="n">
        <x:f>H7-G7</x:f>
        <x:v>106300</x:v>
      </x:c>
      <x:c r="J7" s="12" t="str">
        <x:f>IF(I7&lt;0,"OVER-COMMITTED",IF(I7&lt;50000,"CONTROL","AVAILABLE"))</x:f>
        <x:v>AVAILABLE</x:v>
      </x:c>
    </x:row>
    <x:row r="8" ht="21" customHeight="1">
      <x:c r="A8" s="13" t="str">
        <x:v>Oct 2026</x:v>
      </x:c>
      <x:c r="B8" s="16" t="n">
        <x:v>245000</x:v>
      </x:c>
      <x:c r="C8" s="16" t="n">
        <x:v>310000</x:v>
      </x:c>
      <x:c r="D8" s="16" t="n">
        <x:v>220000</x:v>
      </x:c>
      <x:c r="E8" s="19" t="n">
        <x:v>0.035</x:v>
      </x:c>
      <x:c r="F8" s="89" t="n">
        <x:v>330000</x:v>
      </x:c>
      <x:c r="G8" s="89" t="n">
        <x:v>115000</x:v>
      </x:c>
      <x:c r="H8" s="89" t="n">
        <x:f>B8+F8-C8+B8*E8</x:f>
        <x:v>273575</x:v>
      </x:c>
      <x:c r="I8" s="92" t="n">
        <x:f>H8-G8</x:f>
        <x:v>158575</x:v>
      </x:c>
      <x:c r="J8" s="13" t="str">
        <x:f>IF(I8&lt;0,"OVER-COMMITTED",IF(I8&lt;50000,"CONTROL","AVAILABLE"))</x:f>
        <x:v>AVAILABLE</x:v>
      </x:c>
    </x:row>
    <x:row r="9" ht="21" customHeight="1">
      <x:c r="A9" s="13" t="str">
        <x:v>Nov 2026</x:v>
      </x:c>
      <x:c r="B9" s="16" t="n">
        <x:v>320000</x:v>
      </x:c>
      <x:c r="C9" s="16" t="n">
        <x:v>330000</x:v>
      </x:c>
      <x:c r="D9" s="16" t="n">
        <x:v>355000</x:v>
      </x:c>
      <x:c r="E9" s="19" t="n">
        <x:v>0.045</x:v>
      </x:c>
      <x:c r="F9" s="89" t="n">
        <x:v>390000</x:v>
      </x:c>
      <x:c r="G9" s="89" t="n">
        <x:v>180000</x:v>
      </x:c>
      <x:c r="H9" s="89" t="n">
        <x:f>B9+F9-C9+B9*E9</x:f>
        <x:v>394400</x:v>
      </x:c>
      <x:c r="I9" s="92" t="n">
        <x:f>H9-G9</x:f>
        <x:v>214400</x:v>
      </x:c>
      <x:c r="J9" s="13" t="str">
        <x:f>IF(I9&lt;0,"OVER-COMMITTED",IF(I9&lt;50000,"CONTROL","AVAILABLE"))</x:f>
        <x:v>AVAILABLE</x:v>
      </x:c>
    </x:row>
    <x:row r="10" ht="21" customHeight="1">
      <x:c r="A10" s="13" t="str">
        <x:v>Dec 2026</x:v>
      </x:c>
      <x:c r="B10" s="16" t="n">
        <x:v>355000</x:v>
      </x:c>
      <x:c r="C10" s="16" t="n">
        <x:v>390000</x:v>
      </x:c>
      <x:c r="D10" s="16" t="n">
        <x:v>310000</x:v>
      </x:c>
      <x:c r="E10" s="19" t="n">
        <x:v>0.055</x:v>
      </x:c>
      <x:c r="F10" s="89" t="n">
        <x:v>340000</x:v>
      </x:c>
      <x:c r="G10" s="89" t="n">
        <x:v>165000</x:v>
      </x:c>
      <x:c r="H10" s="89" t="n">
        <x:f>B10+F10-C10+B10*E10</x:f>
        <x:v>324525</x:v>
      </x:c>
      <x:c r="I10" s="92" t="n">
        <x:f>H10-G10</x:f>
        <x:v>159525</x:v>
      </x:c>
      <x:c r="J10" s="13" t="str">
        <x:f>IF(I10&lt;0,"OVER-COMMITTED",IF(I10&lt;50000,"CONTROL","AVAILABLE"))</x:f>
        <x:v>AVAILABLE</x:v>
      </x:c>
    </x:row>
    <x:row r="11" ht="21" customHeight="1">
      <x:c r="A11" s="13" t="str">
        <x:v>Jan 2027</x:v>
      </x:c>
      <x:c r="B11" s="16" t="n">
        <x:v>225000</x:v>
      </x:c>
      <x:c r="C11" s="16" t="n">
        <x:v>340000</x:v>
      </x:c>
      <x:c r="D11" s="16" t="n">
        <x:v>195000</x:v>
      </x:c>
      <x:c r="E11" s="19" t="n">
        <x:v>0.05</x:v>
      </x:c>
      <x:c r="F11" s="89" t="n">
        <x:v>310000</x:v>
      </x:c>
      <x:c r="G11" s="89" t="n">
        <x:v>85000</x:v>
      </x:c>
      <x:c r="H11" s="89" t="n">
        <x:f>B11+F11-C11+B11*E11</x:f>
        <x:v>206250</x:v>
      </x:c>
      <x:c r="I11" s="92" t="n">
        <x:f>H11-G11</x:f>
        <x:v>121250</x:v>
      </x:c>
      <x:c r="J11" s="13" t="str">
        <x:f>IF(I11&lt;0,"OVER-COMMITTED",IF(I11&lt;50000,"CONTROL","AVAILABLE"))</x:f>
        <x:v>AVAILABLE</x:v>
      </x:c>
    </x:row>
    <x:row r="12" ht="21" customHeight="1">
      <x:c r="A12" s="14" t="str">
        <x:v>Feb 2027</x:v>
      </x:c>
      <x:c r="B12" s="17" t="n">
        <x:v>205000</x:v>
      </x:c>
      <x:c r="C12" s="17" t="n">
        <x:v>310000</x:v>
      </x:c>
      <x:c r="D12" s="17" t="n">
        <x:v>180000</x:v>
      </x:c>
      <x:c r="E12" s="20" t="n">
        <x:v>0.04</x:v>
      </x:c>
      <x:c r="F12" s="90" t="n">
        <x:v>295000</x:v>
      </x:c>
      <x:c r="G12" s="90" t="n">
        <x:v>70000</x:v>
      </x:c>
      <x:c r="H12" s="90" t="n">
        <x:f>B12+F12-C12+B12*E12</x:f>
        <x:v>198200</x:v>
      </x:c>
      <x:c r="I12" s="93" t="n">
        <x:f>H12-G12</x:f>
        <x:v>128200</x:v>
      </x:c>
      <x:c r="J12" s="14" t="str">
        <x:f>IF(I12&lt;0,"OVER-COMMITTED",IF(I12&lt;50000,"CONTROL","AVAILABLE"))</x:f>
        <x:v>AVAILABLE</x:v>
      </x:c>
    </x:row>
    <x:row r="13">
      <x:c r="A13" s="141"/>
      <x:c r="B13" s="141"/>
      <x:c r="C13" s="141"/>
      <x:c r="D13" s="141"/>
      <x:c r="E13" s="141"/>
      <x:c r="F13" s="141"/>
      <x:c r="G13" s="141"/>
      <x:c r="H13" s="141"/>
      <x:c r="I13" s="141"/>
      <x:c r="J13" s="141"/>
    </x:row>
    <x:row r="14">
      <x:c r="A14" s="141"/>
      <x:c r="B14" s="141"/>
      <x:c r="C14" s="141"/>
      <x:c r="D14" s="141"/>
      <x:c r="E14" s="141"/>
      <x:c r="F14" s="141"/>
      <x:c r="G14" s="141"/>
      <x:c r="H14" s="141"/>
      <x:c r="I14" s="141"/>
      <x:c r="J14" s="141"/>
    </x:row>
    <x:row r="15" ht="22" customHeight="1">
      <x:c r="A15" s="60" t="str">
        <x:v>PLANNING CONTROLS</x:v>
      </x:c>
      <x:c r="B15" s="60"/>
      <x:c r="C15" s="60"/>
      <x:c r="D15" s="60"/>
      <x:c r="E15" s="60"/>
      <x:c r="F15" s="60"/>
      <x:c r="G15" s="60"/>
      <x:c r="H15" s="60"/>
      <x:c r="I15" s="60"/>
      <x:c r="J15" s="60"/>
    </x:row>
    <x:row r="16">
      <x:c r="A16" s="141"/>
      <x:c r="B16" s="141"/>
      <x:c r="C16" s="141"/>
      <x:c r="D16" s="141"/>
      <x:c r="E16" s="141"/>
      <x:c r="F16" s="141"/>
      <x:c r="G16" s="141"/>
      <x:c r="H16" s="141"/>
      <x:c r="I16" s="141"/>
      <x:c r="J16" s="141"/>
    </x:row>
    <x:row r="17" ht="24" customHeight="1">
      <x:c r="A17" s="6" t="str">
        <x:v>CONTROL</x:v>
      </x:c>
      <x:c r="B17" s="6" t="str">
        <x:v>VALUE</x:v>
      </x:c>
      <x:c r="C17" s="6" t="str">
        <x:v>INTERPRETATION</x:v>
      </x:c>
      <x:c r="D17" s="6" t="str">
        <x:v>OWNER</x:v>
      </x:c>
      <x:c r="E17" s="141"/>
      <x:c r="F17" s="141"/>
      <x:c r="G17" s="141"/>
      <x:c r="H17" s="141"/>
      <x:c r="I17" s="141"/>
      <x:c r="J17" s="141"/>
    </x:row>
    <x:row r="18" ht="21" customHeight="1">
      <x:c r="A18" s="12" t="str">
        <x:v>Total OTB</x:v>
      </x:c>
      <x:c r="B18" s="15" t="n">
        <x:f>SUM(I7:I12)</x:f>
        <x:v>888250</x:v>
      </x:c>
      <x:c r="C18" s="12" t="str">
        <x:v>Purchasing capacity after committed orders</x:v>
      </x:c>
      <x:c r="D18" s="12" t="str">
        <x:v>Merchandise Planning</x:v>
      </x:c>
      <x:c r="E18" s="141"/>
      <x:c r="F18" s="141"/>
      <x:c r="G18" s="141"/>
      <x:c r="H18" s="141"/>
      <x:c r="I18" s="141"/>
      <x:c r="J18" s="141"/>
    </x:row>
    <x:row r="19" ht="21" customHeight="1">
      <x:c r="A19" s="13" t="str">
        <x:v>Peak Month</x:v>
      </x:c>
      <x:c r="B19" s="13" t="str">
        <x:v>November</x:v>
      </x:c>
      <x:c r="C19" s="13" t="str">
        <x:v>Holiday inventory build</x:v>
      </x:c>
      <x:c r="D19" s="13" t="str">
        <x:v>Seasonal Buyer</x:v>
      </x:c>
      <x:c r="E19" s="141"/>
      <x:c r="F19" s="141"/>
      <x:c r="G19" s="141"/>
      <x:c r="H19" s="141"/>
      <x:c r="I19" s="141"/>
      <x:c r="J19" s="141"/>
    </x:row>
    <x:row r="20" ht="21" customHeight="1">
      <x:c r="A20" s="13" t="str">
        <x:v>Markdown Reserve</x:v>
      </x:c>
      <x:c r="B20" s="19" t="n">
        <x:v>0.045</x:v>
      </x:c>
      <x:c r="C20" s="13" t="str">
        <x:v>Protected margin contingency</x:v>
      </x:c>
      <x:c r="D20" s="13" t="str">
        <x:v>Trading</x:v>
      </x:c>
      <x:c r="E20" s="141"/>
      <x:c r="F20" s="141"/>
      <x:c r="G20" s="141"/>
      <x:c r="H20" s="141"/>
      <x:c r="I20" s="141"/>
      <x:c r="J20" s="141"/>
    </x:row>
    <x:row r="21" ht="21" customHeight="1">
      <x:c r="A21" s="14" t="str">
        <x:v>Review Cadence</x:v>
      </x:c>
      <x:c r="B21" s="14" t="str">
        <x:v>Weekly</x:v>
      </x:c>
      <x:c r="C21" s="14" t="str">
        <x:v>Refresh demand, on-order and receipts</x:v>
      </x:c>
      <x:c r="D21" s="14" t="str">
        <x:v>Planning</x:v>
      </x:c>
      <x:c r="E21" s="141"/>
      <x:c r="F21" s="141"/>
      <x:c r="G21" s="141"/>
      <x:c r="H21" s="141"/>
      <x:c r="I21" s="141"/>
      <x:c r="J21" s="141"/>
    </x:row>
    <x:row r="22">
      <x:c r="A22" s="141"/>
      <x:c r="B22" s="141"/>
      <x:c r="C22" s="141"/>
      <x:c r="D22" s="141"/>
      <x:c r="E22" s="141"/>
      <x:c r="F22" s="141"/>
      <x:c r="G22" s="141"/>
      <x:c r="H22" s="141"/>
      <x:c r="I22" s="141"/>
      <x:c r="J22" s="141"/>
    </x:row>
    <x:row r="23">
      <x:c r="A23" s="141"/>
      <x:c r="B23" s="141"/>
      <x:c r="C23" s="141"/>
      <x:c r="D23" s="141"/>
      <x:c r="E23" s="141"/>
      <x:c r="F23" s="141"/>
      <x:c r="G23" s="141"/>
      <x:c r="H23" s="141"/>
      <x:c r="I23" s="141"/>
      <x:c r="J23" s="141"/>
    </x:row>
    <x:row r="24">
      <x:c r="A24" s="141"/>
      <x:c r="B24" s="141"/>
      <x:c r="C24" s="141"/>
      <x:c r="D24" s="141"/>
      <x:c r="E24" s="141"/>
      <x:c r="F24" s="141"/>
      <x:c r="G24" s="141"/>
      <x:c r="H24" s="141"/>
      <x:c r="I24" s="141"/>
      <x:c r="J24" s="141"/>
    </x:row>
    <x:row r="25">
      <x:c r="A25" s="141"/>
      <x:c r="B25" s="141"/>
      <x:c r="C25" s="141"/>
      <x:c r="D25" s="141"/>
      <x:c r="E25" s="141"/>
      <x:c r="F25" s="141"/>
      <x:c r="G25" s="141"/>
      <x:c r="H25" s="141"/>
      <x:c r="I25" s="141"/>
      <x:c r="J25" s="141"/>
    </x:row>
    <x:row r="26">
      <x:c r="A26" s="141"/>
      <x:c r="B26" s="141"/>
      <x:c r="C26" s="141"/>
      <x:c r="D26" s="141"/>
      <x:c r="E26" s="141"/>
      <x:c r="F26" s="141"/>
      <x:c r="G26" s="141"/>
      <x:c r="H26" s="141"/>
      <x:c r="I26" s="141"/>
      <x:c r="J26" s="141"/>
    </x:row>
    <x:row r="27">
      <x:c r="A27" s="141"/>
      <x:c r="B27" s="141"/>
      <x:c r="C27" s="141"/>
      <x:c r="D27" s="141"/>
      <x:c r="E27" s="141"/>
      <x:c r="F27" s="141"/>
      <x:c r="G27" s="141"/>
      <x:c r="H27" s="141"/>
      <x:c r="I27" s="141"/>
      <x:c r="J27" s="141"/>
    </x:row>
    <x:row r="28">
      <x:c r="A28" s="141"/>
      <x:c r="B28" s="141"/>
      <x:c r="C28" s="141"/>
      <x:c r="D28" s="141"/>
      <x:c r="E28" s="141"/>
      <x:c r="F28" s="141"/>
      <x:c r="G28" s="141"/>
      <x:c r="H28" s="141"/>
      <x:c r="I28" s="141"/>
      <x:c r="J28" s="141"/>
    </x:row>
  </x:sheetData>
  <x:mergeCells>
    <x:mergeCell ref="A1:J1"/>
    <x:mergeCell ref="A2:J3"/>
    <x:mergeCell ref="A4:J4"/>
    <x:mergeCell ref="A15:J15"/>
  </x:mergeCells>
  <x:conditionalFormatting sqref="J7:J12">
    <x:cfRule type="expression" dxfId="2" priority="1">
      <x:formula>J7="OVER-COMMITTED"</x:formula>
    </x:cfRule>
    <x:cfRule type="expression" dxfId="3" priority="2">
      <x:formula>J7="AVAILABLE"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4" customHeight="1">
      <x:c r="A1" s="42" t="str">
        <x:v>N O R T H S T A R   ·   HOME &amp; LIVING</x:v>
      </x:c>
      <x:c r="B1" s="141"/>
      <x:c r="C1" s="141"/>
      <x:c r="D1" s="141"/>
      <x:c r="E1" s="141"/>
      <x:c r="F1" s="141"/>
      <x:c r="G1" s="141"/>
      <x:c r="H1" s="141"/>
      <x:c r="I1" s="141"/>
    </x:row>
    <x:row r="2">
      <x:c r="A2" s="44" t="str">
        <x:v>Initial Allocation Model</x:v>
      </x:c>
      <x:c r="B2" s="141"/>
      <x:c r="C2" s="141"/>
      <x:c r="D2" s="141"/>
      <x:c r="E2" s="141"/>
      <x:c r="F2" s="141"/>
      <x:c r="G2" s="141"/>
      <x:c r="H2" s="141"/>
      <x:c r="I2" s="141"/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</x:row>
    <x:row r="4" ht="22" customHeight="1">
      <x:c r="A4" s="46" t="str">
        <x:v>500 units available · demand-weighted store distribution</x:v>
      </x:c>
      <x:c r="B4" s="141"/>
      <x:c r="C4" s="141"/>
      <x:c r="D4" s="141"/>
      <x:c r="E4" s="141"/>
      <x:c r="F4" s="141"/>
      <x:c r="G4" s="141"/>
      <x:c r="H4" s="141"/>
      <x:c r="I4" s="141"/>
    </x:row>
    <x:row r="5">
      <x:c r="A5" s="141"/>
      <x:c r="B5" s="141"/>
      <x:c r="C5" s="141"/>
      <x:c r="D5" s="141"/>
      <x:c r="E5" s="141"/>
      <x:c r="F5" s="141"/>
      <x:c r="G5" s="141"/>
      <x:c r="H5" s="141"/>
      <x:c r="I5" s="141"/>
    </x:row>
    <x:row r="6" ht="24" customHeight="1">
      <x:c r="A6" s="6" t="str">
        <x:v>Store</x:v>
      </x:c>
      <x:c r="B6" s="6" t="str">
        <x:v>Tier</x:v>
      </x:c>
      <x:c r="C6" s="6" t="str">
        <x:v>Historical Sales</x:v>
      </x:c>
      <x:c r="D6" s="6" t="str">
        <x:v>Demand Share</x:v>
      </x:c>
      <x:c r="E6" s="6" t="str">
        <x:v>Base Allocation</x:v>
      </x:c>
      <x:c r="F6" s="6" t="str">
        <x:v>Regional Factor</x:v>
      </x:c>
      <x:c r="G6" s="6" t="str">
        <x:v>Adjusted Weight</x:v>
      </x:c>
      <x:c r="H6" s="6" t="str">
        <x:v>Final Allocation</x:v>
      </x:c>
      <x:c r="I6" s="6" t="str">
        <x:v>Check</x:v>
      </x:c>
    </x:row>
    <x:row r="7" ht="21" customHeight="1">
      <x:c r="A7" s="12" t="str">
        <x:f>'10_Data'!K2</x:f>
        <x:v>Toronto</x:v>
      </x:c>
      <x:c r="B7" s="12" t="str">
        <x:f>'10_Data'!N2</x:f>
        <x:v>A</x:v>
      </x:c>
      <x:c r="C7" s="15" t="n">
        <x:f>'10_Data'!O2</x:f>
        <x:v>1403621.35</x:v>
      </x:c>
      <x:c r="D7" s="18" t="n">
        <x:f>C7/SUM($C$7:$C$16)</x:f>
        <x:v>0.14809292933899887</x:v>
      </x:c>
      <x:c r="E7" s="12" t="n">
        <x:f>ROUND(D7*$B$19,0)</x:f>
        <x:v>74</x:v>
      </x:c>
      <x:c r="F7" s="94" t="n">
        <x:v>0.97</x:v>
      </x:c>
      <x:c r="G7" s="94" t="n">
        <x:f>D7*F7</x:f>
        <x:v>0.1436501414588289</x:v>
      </x:c>
      <x:c r="H7" s="12" t="n">
        <x:f>ROUND(G7/SUM($G$7:$G$16)*$B$19,0)</x:f>
        <x:v>71</x:v>
      </x:c>
      <x:c r="I7" s="12" t="str">
        <x:f>IF(H7&lt;0,"REVIEW","OK")</x:f>
        <x:v>OK</x:v>
      </x:c>
    </x:row>
    <x:row r="8" ht="21" customHeight="1">
      <x:c r="A8" s="13" t="str">
        <x:f>'10_Data'!K3</x:f>
        <x:v>Mississauga</x:v>
      </x:c>
      <x:c r="B8" s="13" t="str">
        <x:f>'10_Data'!N3</x:f>
        <x:v>A</x:v>
      </x:c>
      <x:c r="C8" s="16" t="n">
        <x:f>'10_Data'!O3</x:f>
        <x:v>1252787.3</x:v>
      </x:c>
      <x:c r="D8" s="19" t="n">
        <x:f>C8/SUM($C$7:$C$16)</x:f>
        <x:v>0.1321787682238484</x:v>
      </x:c>
      <x:c r="E8" s="13" t="n">
        <x:f>ROUND(D8*$B$19,0)</x:f>
        <x:v>66</x:v>
      </x:c>
      <x:c r="F8" s="95" t="n">
        <x:v>0.97</x:v>
      </x:c>
      <x:c r="G8" s="95" t="n">
        <x:f>D8*F8</x:f>
        <x:v>0.12821340517713292</x:v>
      </x:c>
      <x:c r="H8" s="13" t="n">
        <x:f>ROUND(G8/SUM($G$7:$G$16)*$B$19,0)</x:f>
        <x:v>64</x:v>
      </x:c>
      <x:c r="I8" s="13" t="str">
        <x:f>IF(H8&lt;0,"REVIEW","OK")</x:f>
        <x:v>OK</x:v>
      </x:c>
    </x:row>
    <x:row r="9" ht="21" customHeight="1">
      <x:c r="A9" s="13" t="str">
        <x:f>'10_Data'!K4</x:f>
        <x:v>Halifax</x:v>
      </x:c>
      <x:c r="B9" s="13" t="str">
        <x:f>'10_Data'!N4</x:f>
        <x:v>A</x:v>
      </x:c>
      <x:c r="C9" s="16" t="n">
        <x:f>'10_Data'!O4</x:f>
        <x:v>1146693.51</x:v>
      </x:c>
      <x:c r="D9" s="19" t="n">
        <x:f>C9/SUM($C$7:$C$16)</x:f>
        <x:v>0.12098505123901014</x:v>
      </x:c>
      <x:c r="E9" s="13" t="n">
        <x:f>ROUND(D9*$B$19,0)</x:f>
        <x:v>60</x:v>
      </x:c>
      <x:c r="F9" s="95" t="n">
        <x:v>1.06</x:v>
      </x:c>
      <x:c r="G9" s="95" t="n">
        <x:f>D9*F9</x:f>
        <x:v>0.12824415431335076</x:v>
      </x:c>
      <x:c r="H9" s="13" t="n">
        <x:f>ROUND(G9/SUM($G$7:$G$16)*$B$19,0)</x:f>
        <x:v>64</x:v>
      </x:c>
      <x:c r="I9" s="13" t="str">
        <x:f>IF(H9&lt;0,"REVIEW","OK")</x:f>
        <x:v>OK</x:v>
      </x:c>
    </x:row>
    <x:row r="10" ht="21" customHeight="1">
      <x:c r="A10" s="13" t="str">
        <x:f>'10_Data'!K5</x:f>
        <x:v>Ottawa</x:v>
      </x:c>
      <x:c r="B10" s="13" t="str">
        <x:f>'10_Data'!N5</x:f>
        <x:v>A</x:v>
      </x:c>
      <x:c r="C10" s="16" t="n">
        <x:f>'10_Data'!O5</x:f>
        <x:v>1090511.69</x:v>
      </x:c>
      <x:c r="D10" s="19" t="n">
        <x:f>C10/SUM($C$7:$C$16)</x:f>
        <x:v>0.11505743386599401</x:v>
      </x:c>
      <x:c r="E10" s="13" t="n">
        <x:f>ROUND(D10*$B$19,0)</x:f>
        <x:v>58</x:v>
      </x:c>
      <x:c r="F10" s="95" t="n">
        <x:v>0.97</x:v>
      </x:c>
      <x:c r="G10" s="95" t="n">
        <x:f>D10*F10</x:f>
        <x:v>0.1116057108500142</x:v>
      </x:c>
      <x:c r="H10" s="13" t="n">
        <x:f>ROUND(G10/SUM($G$7:$G$16)*$B$19,0)</x:f>
        <x:v>55</x:v>
      </x:c>
      <x:c r="I10" s="13" t="str">
        <x:f>IF(H10&lt;0,"REVIEW","OK")</x:f>
        <x:v>OK</x:v>
      </x:c>
    </x:row>
    <x:row r="11" ht="21" customHeight="1">
      <x:c r="A11" s="13" t="str">
        <x:f>'10_Data'!K6</x:f>
        <x:v>Dartmouth</x:v>
      </x:c>
      <x:c r="B11" s="13" t="str">
        <x:f>'10_Data'!N6</x:f>
        <x:v>B</x:v>
      </x:c>
      <x:c r="C11" s="16" t="n">
        <x:f>'10_Data'!O6</x:f>
        <x:v>890647.09</x:v>
      </x:c>
      <x:c r="D11" s="19" t="n">
        <x:f>C11/SUM($C$7:$C$16)</x:f>
        <x:v>0.09397016977930335</x:v>
      </x:c>
      <x:c r="E11" s="13" t="n">
        <x:f>ROUND(D11*$B$19,0)</x:f>
        <x:v>47</x:v>
      </x:c>
      <x:c r="F11" s="95" t="n">
        <x:v>1.06</x:v>
      </x:c>
      <x:c r="G11" s="95" t="n">
        <x:f>D11*F11</x:f>
        <x:v>0.09960837996606156</x:v>
      </x:c>
      <x:c r="H11" s="13" t="n">
        <x:f>ROUND(G11/SUM($G$7:$G$16)*$B$19,0)</x:f>
        <x:v>49</x:v>
      </x:c>
      <x:c r="I11" s="13" t="str">
        <x:f>IF(H11&lt;0,"REVIEW","OK")</x:f>
        <x:v>OK</x:v>
      </x:c>
    </x:row>
    <x:row r="12" ht="21" customHeight="1">
      <x:c r="A12" s="13" t="str">
        <x:f>'10_Data'!K7</x:f>
        <x:v>London</x:v>
      </x:c>
      <x:c r="B12" s="13" t="str">
        <x:f>'10_Data'!N7</x:f>
        <x:v>B</x:v>
      </x:c>
      <x:c r="C12" s="16" t="n">
        <x:f>'10_Data'!O7</x:f>
        <x:v>828979.73</x:v>
      </x:c>
      <x:c r="D12" s="19" t="n">
        <x:f>C12/SUM($C$7:$C$16)</x:f>
        <x:v>0.08746378542785228</x:v>
      </x:c>
      <x:c r="E12" s="13" t="n">
        <x:f>ROUND(D12*$B$19,0)</x:f>
        <x:v>44</x:v>
      </x:c>
      <x:c r="F12" s="95" t="n">
        <x:v>0.97</x:v>
      </x:c>
      <x:c r="G12" s="95" t="n">
        <x:f>D12*F12</x:f>
        <x:v>0.08483987186501671</x:v>
      </x:c>
      <x:c r="H12" s="13" t="n">
        <x:f>ROUND(G12/SUM($G$7:$G$16)*$B$19,0)</x:f>
        <x:v>42</x:v>
      </x:c>
      <x:c r="I12" s="13" t="str">
        <x:f>IF(H12&lt;0,"REVIEW","OK")</x:f>
        <x:v>OK</x:v>
      </x:c>
    </x:row>
    <x:row r="13" ht="21" customHeight="1">
      <x:c r="A13" s="13" t="str">
        <x:f>'10_Data'!K8</x:f>
        <x:v>Moncton</x:v>
      </x:c>
      <x:c r="B13" s="13" t="str">
        <x:f>'10_Data'!N8</x:f>
        <x:v>B</x:v>
      </x:c>
      <x:c r="C13" s="16" t="n">
        <x:f>'10_Data'!O8</x:f>
        <x:v>770781.49</x:v>
      </x:c>
      <x:c r="D13" s="19" t="n">
        <x:f>C13/SUM($C$7:$C$16)</x:f>
        <x:v>0.08132342011923534</x:v>
      </x:c>
      <x:c r="E13" s="13" t="n">
        <x:f>ROUND(D13*$B$19,0)</x:f>
        <x:v>41</x:v>
      </x:c>
      <x:c r="F13" s="95" t="n">
        <x:v>1.06</x:v>
      </x:c>
      <x:c r="G13" s="95" t="n">
        <x:f>D13*F13</x:f>
        <x:v>0.08620282532638947</x:v>
      </x:c>
      <x:c r="H13" s="13" t="n">
        <x:f>ROUND(G13/SUM($G$7:$G$16)*$B$19,0)</x:f>
        <x:v>43</x:v>
      </x:c>
      <x:c r="I13" s="13" t="str">
        <x:f>IF(H13&lt;0,"REVIEW","OK")</x:f>
        <x:v>OK</x:v>
      </x:c>
    </x:row>
    <x:row r="14" ht="21" customHeight="1">
      <x:c r="A14" s="13" t="str">
        <x:f>'10_Data'!K9</x:f>
        <x:v>Kingston</x:v>
      </x:c>
      <x:c r="B14" s="13" t="str">
        <x:f>'10_Data'!N9</x:f>
        <x:v>B</x:v>
      </x:c>
      <x:c r="C14" s="16" t="n">
        <x:f>'10_Data'!O9</x:f>
        <x:v>739321.95</x:v>
      </x:c>
      <x:c r="D14" s="19" t="n">
        <x:f>C14/SUM($C$7:$C$16)</x:f>
        <x:v>0.07800419486360823</x:v>
      </x:c>
      <x:c r="E14" s="13" t="n">
        <x:f>ROUND(D14*$B$19,0)</x:f>
        <x:v>39</x:v>
      </x:c>
      <x:c r="F14" s="95" t="n">
        <x:v>0.97</x:v>
      </x:c>
      <x:c r="G14" s="95" t="n">
        <x:f>D14*F14</x:f>
        <x:v>0.07566406901769998</x:v>
      </x:c>
      <x:c r="H14" s="13" t="n">
        <x:f>ROUND(G14/SUM($G$7:$G$16)*$B$19,0)</x:f>
        <x:v>37</x:v>
      </x:c>
      <x:c r="I14" s="13" t="str">
        <x:f>IF(H14&lt;0,"REVIEW","OK")</x:f>
        <x:v>OK</x:v>
      </x:c>
    </x:row>
    <x:row r="15" ht="21" customHeight="1">
      <x:c r="A15" s="13" t="str">
        <x:f>'10_Data'!K10</x:f>
        <x:v>Charlottetown</x:v>
      </x:c>
      <x:c r="B15" s="13" t="str">
        <x:f>'10_Data'!N10</x:f>
        <x:v>B</x:v>
      </x:c>
      <x:c r="C15" s="16" t="n">
        <x:f>'10_Data'!O10</x:f>
        <x:v>710759.31</x:v>
      </x:c>
      <x:c r="D15" s="19" t="n">
        <x:f>C15/SUM($C$7:$C$16)</x:f>
        <x:v>0.07499061500657966</x:v>
      </x:c>
      <x:c r="E15" s="13" t="n">
        <x:f>ROUND(D15*$B$19,0)</x:f>
        <x:v>37</x:v>
      </x:c>
      <x:c r="F15" s="95" t="n">
        <x:v>1.06</x:v>
      </x:c>
      <x:c r="G15" s="95" t="n">
        <x:f>D15*F15</x:f>
        <x:v>0.07949005190697445</x:v>
      </x:c>
      <x:c r="H15" s="13" t="n">
        <x:f>ROUND(G15/SUM($G$7:$G$16)*$B$19,0)</x:f>
        <x:v>39</x:v>
      </x:c>
      <x:c r="I15" s="13" t="str">
        <x:f>IF(H15&lt;0,"REVIEW","OK")</x:f>
        <x:v>OK</x:v>
      </x:c>
    </x:row>
    <x:row r="16" ht="21" customHeight="1">
      <x:c r="A16" s="14" t="str">
        <x:f>'10_Data'!K11</x:f>
        <x:v>Fredericton</x:v>
      </x:c>
      <x:c r="B16" s="14" t="str">
        <x:f>'10_Data'!N11</x:f>
        <x:v>C</x:v>
      </x:c>
      <x:c r="C16" s="17" t="n">
        <x:f>'10_Data'!O11</x:f>
        <x:v>643873.39</x:v>
      </x:c>
      <x:c r="D16" s="20" t="n">
        <x:f>C16/SUM($C$7:$C$16)</x:f>
        <x:v>0.06793363213556966</x:v>
      </x:c>
      <x:c r="E16" s="14" t="n">
        <x:f>ROUND(D16*$B$19,0)</x:f>
        <x:v>34</x:v>
      </x:c>
      <x:c r="F16" s="96" t="n">
        <x:v>1.06</x:v>
      </x:c>
      <x:c r="G16" s="96" t="n">
        <x:f>D16*F16</x:f>
        <x:v>0.07200965006370384</x:v>
      </x:c>
      <x:c r="H16" s="14" t="n">
        <x:f>$B$19-SUM($H$7:$H$15)</x:f>
        <x:v>36</x:v>
      </x:c>
      <x:c r="I16" s="14" t="str">
        <x:f>IF(H16&lt;0,"REVIEW","OK")</x:f>
        <x:v>OK</x:v>
      </x:c>
    </x:row>
    <x:row r="17">
      <x:c r="A17" s="141"/>
      <x:c r="B17" s="141"/>
      <x:c r="C17" s="141"/>
      <x:c r="D17" s="141"/>
      <x:c r="E17" s="141"/>
      <x:c r="F17" s="141"/>
      <x:c r="G17" s="141"/>
      <x:c r="H17" s="141"/>
      <x:c r="I17" s="141"/>
    </x:row>
    <x:row r="18">
      <x:c r="A18" s="141"/>
      <x:c r="B18" s="141"/>
      <x:c r="C18" s="141"/>
      <x:c r="D18" s="141"/>
      <x:c r="E18" s="141"/>
      <x:c r="F18" s="141"/>
      <x:c r="G18" s="141"/>
      <x:c r="H18" s="141"/>
      <x:c r="I18" s="141"/>
    </x:row>
    <x:row r="19">
      <x:c r="A19" s="142" t="str">
        <x:v>Available Units</x:v>
      </x:c>
      <x:c r="B19" s="143" t="n">
        <x:v>500</x:v>
      </x:c>
      <x:c r="C19" s="141"/>
      <x:c r="D19" s="141"/>
      <x:c r="E19" s="141"/>
      <x:c r="F19" s="141"/>
      <x:c r="G19" s="141"/>
      <x:c r="H19" s="141"/>
      <x:c r="I19" s="141"/>
    </x:row>
    <x:row r="20">
      <x:c r="A20" s="142" t="str">
        <x:v>Allocated Units</x:v>
      </x:c>
      <x:c r="B20" s="143" t="n">
        <x:f>SUM(H7:H16)</x:f>
        <x:v>500</x:v>
      </x:c>
      <x:c r="C20" s="141"/>
      <x:c r="D20" s="141"/>
      <x:c r="E20" s="141"/>
      <x:c r="F20" s="141"/>
      <x:c r="G20" s="141"/>
      <x:c r="H20" s="141"/>
      <x:c r="I20" s="141"/>
    </x:row>
    <x:row r="21">
      <x:c r="A21" s="142" t="str">
        <x:v>Allocation Check</x:v>
      </x:c>
      <x:c r="B21" s="143" t="n">
        <x:f>B19-B20</x:f>
        <x:v>0</x:v>
      </x:c>
      <x:c r="C21" s="141"/>
      <x:c r="D21" s="141"/>
      <x:c r="E21" s="141"/>
      <x:c r="F21" s="141"/>
      <x:c r="G21" s="141"/>
      <x:c r="H21" s="141"/>
      <x:c r="I21" s="141"/>
    </x:row>
    <x:row r="22">
      <x:c r="A22" s="141"/>
      <x:c r="B22" s="141"/>
      <x:c r="C22" s="141"/>
      <x:c r="D22" s="141"/>
      <x:c r="E22" s="141"/>
      <x:c r="F22" s="141"/>
      <x:c r="G22" s="141"/>
      <x:c r="H22" s="141"/>
      <x:c r="I22" s="141"/>
    </x:row>
    <x:row r="23">
      <x:c r="A23" s="141"/>
      <x:c r="B23" s="141"/>
      <x:c r="C23" s="141"/>
      <x:c r="D23" s="141"/>
      <x:c r="E23" s="141"/>
      <x:c r="F23" s="141"/>
      <x:c r="G23" s="141"/>
      <x:c r="H23" s="141"/>
      <x:c r="I23" s="141"/>
    </x:row>
    <x:row r="24">
      <x:c r="A24" s="141"/>
      <x:c r="B24" s="141"/>
      <x:c r="C24" s="141"/>
      <x:c r="D24" s="141"/>
      <x:c r="E24" s="141"/>
      <x:c r="F24" s="141"/>
      <x:c r="G24" s="141"/>
      <x:c r="H24" s="141"/>
      <x:c r="I24" s="141"/>
    </x:row>
    <x:row r="25">
      <x:c r="A25" s="141"/>
      <x:c r="B25" s="141"/>
      <x:c r="C25" s="141"/>
      <x:c r="D25" s="141"/>
      <x:c r="E25" s="141"/>
      <x:c r="F25" s="141"/>
      <x:c r="G25" s="141"/>
      <x:c r="H25" s="141"/>
      <x:c r="I25" s="141"/>
    </x:row>
    <x:row r="26">
      <x:c r="A26" s="141"/>
      <x:c r="B26" s="141"/>
      <x:c r="C26" s="141"/>
      <x:c r="D26" s="141"/>
      <x:c r="E26" s="141"/>
      <x:c r="F26" s="141"/>
      <x:c r="G26" s="141"/>
      <x:c r="H26" s="141"/>
      <x:c r="I26" s="141"/>
    </x:row>
    <x:row r="27">
      <x:c r="A27" s="141"/>
      <x:c r="B27" s="141"/>
      <x:c r="C27" s="141"/>
      <x:c r="D27" s="141"/>
      <x:c r="E27" s="141"/>
      <x:c r="F27" s="141"/>
      <x:c r="G27" s="141"/>
      <x:c r="H27" s="141"/>
      <x:c r="I27" s="141"/>
    </x:row>
  </x:sheetData>
  <x:mergeCells>
    <x:mergeCell ref="A1:I1"/>
    <x:mergeCell ref="A2:I3"/>
    <x:mergeCell ref="A4:I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9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2" t="str">
        <x:v>N O R T H S T A R   ·   HOME &amp; LIVING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</x:row>
    <x:row r="2">
      <x:c r="A2" s="44" t="str">
        <x:v>Replenishment Planner</x:v>
      </x:c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  <x:c r="K3" s="141"/>
      <x:c r="L3" s="141"/>
    </x:row>
    <x:row r="4" ht="22" customHeight="1">
      <x:c r="A4" s="46" t="str">
        <x:v>Lead-time demand · safety stock · MOQ discipline</x:v>
      </x:c>
      <x:c r="B4" s="141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</x:row>
    <x:row r="5">
      <x:c r="A5" s="141"/>
      <x:c r="B5" s="141"/>
      <x:c r="C5" s="141"/>
      <x:c r="D5" s="141"/>
      <x:c r="E5" s="141"/>
      <x:c r="F5" s="141"/>
      <x:c r="G5" s="141"/>
      <x:c r="H5" s="141"/>
      <x:c r="I5" s="141"/>
      <x:c r="J5" s="141"/>
      <x:c r="K5" s="141"/>
      <x:c r="L5" s="141"/>
    </x:row>
    <x:row r="6" ht="24" customHeight="1">
      <x:c r="A6" s="6" t="str">
        <x:v>SKU</x:v>
      </x:c>
      <x:c r="B6" s="6" t="str">
        <x:v>Product</x:v>
      </x:c>
      <x:c r="C6" s="6" t="str">
        <x:v>Avg Weekly Units</x:v>
      </x:c>
      <x:c r="D6" s="6" t="str">
        <x:v>On Hand</x:v>
      </x:c>
      <x:c r="E6" s="6" t="str">
        <x:v>Incoming</x:v>
      </x:c>
      <x:c r="F6" s="6" t="str">
        <x:v>Lead Time (wks)</x:v>
      </x:c>
      <x:c r="G6" s="6" t="str">
        <x:v>Safety Stock</x:v>
      </x:c>
      <x:c r="H6" s="6" t="str">
        <x:v>Demand in Lead Time</x:v>
      </x:c>
      <x:c r="I6" s="6" t="str">
        <x:v>Net Requirement</x:v>
      </x:c>
      <x:c r="J6" s="6" t="str">
        <x:v>MOQ</x:v>
      </x:c>
      <x:c r="K6" s="6" t="str">
        <x:v>Reorder Qty</x:v>
      </x:c>
      <x:c r="L6" s="6" t="str">
        <x:v>Status</x:v>
      </x:c>
    </x:row>
    <x:row r="7" ht="21" customHeight="1">
      <x:c r="A7" s="12" t="str">
        <x:v>TAB0786</x:v>
      </x:c>
      <x:c r="B7" s="12" t="str">
        <x:v>Cove Linen Vessel</x:v>
      </x:c>
      <x:c r="C7" s="12" t="n">
        <x:v>4</x:v>
      </x:c>
      <x:c r="D7" s="12" t="n">
        <x:v>13</x:v>
      </x:c>
      <x:c r="E7" s="12" t="n">
        <x:v>12</x:v>
      </x:c>
      <x:c r="F7" s="12" t="n">
        <x:v>4</x:v>
      </x:c>
      <x:c r="G7" s="12" t="n">
        <x:v>6</x:v>
      </x:c>
      <x:c r="H7" s="12" t="n">
        <x:f>C7*F7+G7</x:f>
        <x:v>22</x:v>
      </x:c>
      <x:c r="I7" s="12" t="n">
        <x:f>MAX(0,H7-D7-E7)</x:f>
        <x:v>0</x:v>
      </x:c>
      <x:c r="J7" s="12" t="n">
        <x:v>12</x:v>
      </x:c>
      <x:c r="K7" s="12" t="n">
        <x:f>ROUNDUP(I7/J7,0)*J7</x:f>
        <x:v>0</x:v>
      </x:c>
      <x:c r="L7" s="12" t="str">
        <x:f>IF(D7/C7&lt;F7,"CRITICAL",IF(K7&gt;0,"REORDER","HEALTHY"))</x:f>
        <x:v>CRITICAL</x:v>
      </x:c>
    </x:row>
    <x:row r="8" ht="21" customHeight="1">
      <x:c r="A8" s="13" t="str">
        <x:v>FLR1857</x:v>
      </x:c>
      <x:c r="B8" s="13" t="str">
        <x:v>Vale Oak Form</x:v>
      </x:c>
      <x:c r="C8" s="13" t="n">
        <x:v>5</x:v>
      </x:c>
      <x:c r="D8" s="13" t="n">
        <x:v>14</x:v>
      </x:c>
      <x:c r="E8" s="13" t="n">
        <x:v>0</x:v>
      </x:c>
      <x:c r="F8" s="13" t="n">
        <x:v>4</x:v>
      </x:c>
      <x:c r="G8" s="13" t="n">
        <x:v>8</x:v>
      </x:c>
      <x:c r="H8" s="13" t="n">
        <x:f>C8*F8+G8</x:f>
        <x:v>28</x:v>
      </x:c>
      <x:c r="I8" s="13" t="n">
        <x:f>MAX(0,H8-D8-E8)</x:f>
        <x:v>14</x:v>
      </x:c>
      <x:c r="J8" s="13" t="n">
        <x:v>12</x:v>
      </x:c>
      <x:c r="K8" s="13" t="n">
        <x:f>ROUNDUP(I8/J8,0)*J8</x:f>
        <x:v>24</x:v>
      </x:c>
      <x:c r="L8" s="13" t="str">
        <x:f>IF(D8/C8&lt;F8,"CRITICAL",IF(K8&gt;0,"REORDER","HEALTHY"))</x:f>
        <x:v>CRITICAL</x:v>
      </x:c>
    </x:row>
    <x:row r="9" ht="21" customHeight="1">
      <x:c r="A9" s="13" t="str">
        <x:v>FLR1859</x:v>
      </x:c>
      <x:c r="B9" s="13" t="str">
        <x:v>Sable Oak Atelier</x:v>
      </x:c>
      <x:c r="C9" s="13" t="n">
        <x:v>4</x:v>
      </x:c>
      <x:c r="D9" s="13" t="n">
        <x:v>10</x:v>
      </x:c>
      <x:c r="E9" s="13" t="n">
        <x:v>0</x:v>
      </x:c>
      <x:c r="F9" s="13" t="n">
        <x:v>4</x:v>
      </x:c>
      <x:c r="G9" s="13" t="n">
        <x:v>6</x:v>
      </x:c>
      <x:c r="H9" s="13" t="n">
        <x:f>C9*F9+G9</x:f>
        <x:v>22</x:v>
      </x:c>
      <x:c r="I9" s="13" t="n">
        <x:f>MAX(0,H9-D9-E9)</x:f>
        <x:v>12</x:v>
      </x:c>
      <x:c r="J9" s="13" t="n">
        <x:v>12</x:v>
      </x:c>
      <x:c r="K9" s="13" t="n">
        <x:f>ROUNDUP(I9/J9,0)*J9</x:f>
        <x:v>12</x:v>
      </x:c>
      <x:c r="L9" s="13" t="str">
        <x:f>IF(D9/C9&lt;F9,"CRITICAL",IF(K9&gt;0,"REORDER","HEALTHY"))</x:f>
        <x:v>CRITICAL</x:v>
      </x:c>
    </x:row>
    <x:row r="10" ht="21" customHeight="1">
      <x:c r="A10" s="13" t="str">
        <x:v>LGT1803</x:v>
      </x:c>
      <x:c r="B10" s="13" t="str">
        <x:v>Harbour Marble Vessel</x:v>
      </x:c>
      <x:c r="C10" s="13" t="n">
        <x:v>4</x:v>
      </x:c>
      <x:c r="D10" s="13" t="n">
        <x:v>12</x:v>
      </x:c>
      <x:c r="E10" s="13" t="n">
        <x:v>12</x:v>
      </x:c>
      <x:c r="F10" s="13" t="n">
        <x:v>4</x:v>
      </x:c>
      <x:c r="G10" s="13" t="n">
        <x:v>6</x:v>
      </x:c>
      <x:c r="H10" s="13" t="n">
        <x:f>C10*F10+G10</x:f>
        <x:v>22</x:v>
      </x:c>
      <x:c r="I10" s="13" t="n">
        <x:f>MAX(0,H10-D10-E10)</x:f>
        <x:v>0</x:v>
      </x:c>
      <x:c r="J10" s="13" t="n">
        <x:v>12</x:v>
      </x:c>
      <x:c r="K10" s="13" t="n">
        <x:f>ROUNDUP(I10/J10,0)*J10</x:f>
        <x:v>0</x:v>
      </x:c>
      <x:c r="L10" s="13" t="str">
        <x:f>IF(D10/C10&lt;F10,"CRITICAL",IF(K10&gt;0,"REORDER","HEALTHY"))</x:f>
        <x:v>CRITICAL</x:v>
      </x:c>
    </x:row>
    <x:row r="11" ht="21" customHeight="1">
      <x:c r="A11" s="13" t="str">
        <x:v>FUR0635</x:v>
      </x:c>
      <x:c r="B11" s="13" t="str">
        <x:v>Luna Cotton Vessel</x:v>
      </x:c>
      <x:c r="C11" s="13" t="n">
        <x:v>3</x:v>
      </x:c>
      <x:c r="D11" s="13" t="n">
        <x:v>4</x:v>
      </x:c>
      <x:c r="E11" s="13" t="n">
        <x:v>0</x:v>
      </x:c>
      <x:c r="F11" s="13" t="n">
        <x:v>4</x:v>
      </x:c>
      <x:c r="G11" s="13" t="n">
        <x:v>5</x:v>
      </x:c>
      <x:c r="H11" s="13" t="n">
        <x:f>C11*F11+G11</x:f>
        <x:v>17</x:v>
      </x:c>
      <x:c r="I11" s="13" t="n">
        <x:f>MAX(0,H11-D11-E11)</x:f>
        <x:v>13</x:v>
      </x:c>
      <x:c r="J11" s="13" t="n">
        <x:v>12</x:v>
      </x:c>
      <x:c r="K11" s="13" t="n">
        <x:f>ROUNDUP(I11/J11,0)*J11</x:f>
        <x:v>24</x:v>
      </x:c>
      <x:c r="L11" s="13" t="str">
        <x:f>IF(D11/C11&lt;F11,"CRITICAL",IF(K11&gt;0,"REORDER","HEALTHY"))</x:f>
        <x:v>CRITICAL</x:v>
      </x:c>
    </x:row>
    <x:row r="12" ht="21" customHeight="1">
      <x:c r="A12" s="13" t="str">
        <x:v>FUR0621</x:v>
      </x:c>
      <x:c r="B12" s="13" t="str">
        <x:v>Sable Brass Line</x:v>
      </x:c>
      <x:c r="C12" s="13" t="n">
        <x:v>2</x:v>
      </x:c>
      <x:c r="D12" s="13" t="n">
        <x:v>4</x:v>
      </x:c>
      <x:c r="E12" s="13" t="n">
        <x:v>0</x:v>
      </x:c>
      <x:c r="F12" s="13" t="n">
        <x:v>4</x:v>
      </x:c>
      <x:c r="G12" s="13" t="n">
        <x:v>3</x:v>
      </x:c>
      <x:c r="H12" s="13" t="n">
        <x:f>C12*F12+G12</x:f>
        <x:v>11</x:v>
      </x:c>
      <x:c r="I12" s="13" t="n">
        <x:f>MAX(0,H12-D12-E12)</x:f>
        <x:v>7</x:v>
      </x:c>
      <x:c r="J12" s="13" t="n">
        <x:v>12</x:v>
      </x:c>
      <x:c r="K12" s="13" t="n">
        <x:f>ROUNDUP(I12/J12,0)*J12</x:f>
        <x:v>12</x:v>
      </x:c>
      <x:c r="L12" s="13" t="str">
        <x:f>IF(D12/C12&lt;F12,"CRITICAL",IF(K12&gt;0,"REORDER","HEALTHY"))</x:f>
        <x:v>CRITICAL</x:v>
      </x:c>
    </x:row>
    <x:row r="13" ht="21" customHeight="1">
      <x:c r="A13" s="13" t="str">
        <x:v>KIT0891</x:v>
      </x:c>
      <x:c r="B13" s="13" t="str">
        <x:v>Cove Oak Object</x:v>
      </x:c>
      <x:c r="C13" s="13" t="n">
        <x:v>2</x:v>
      </x:c>
      <x:c r="D13" s="13" t="n">
        <x:v>4</x:v>
      </x:c>
      <x:c r="E13" s="13" t="n">
        <x:v>12</x:v>
      </x:c>
      <x:c r="F13" s="13" t="n">
        <x:v>4</x:v>
      </x:c>
      <x:c r="G13" s="13" t="n">
        <x:v>3</x:v>
      </x:c>
      <x:c r="H13" s="13" t="n">
        <x:f>C13*F13+G13</x:f>
        <x:v>11</x:v>
      </x:c>
      <x:c r="I13" s="13" t="n">
        <x:f>MAX(0,H13-D13-E13)</x:f>
        <x:v>0</x:v>
      </x:c>
      <x:c r="J13" s="13" t="n">
        <x:v>12</x:v>
      </x:c>
      <x:c r="K13" s="13" t="n">
        <x:f>ROUNDUP(I13/J13,0)*J13</x:f>
        <x:v>0</x:v>
      </x:c>
      <x:c r="L13" s="13" t="str">
        <x:f>IF(D13/C13&lt;F13,"CRITICAL",IF(K13&gt;0,"REORDER","HEALTHY"))</x:f>
        <x:v>CRITICAL</x:v>
      </x:c>
    </x:row>
    <x:row r="14" ht="21" customHeight="1">
      <x:c r="A14" s="13" t="str">
        <x:v>MIR0377</x:v>
      </x:c>
      <x:c r="B14" s="13" t="str">
        <x:v>Arc Oak Atelier</x:v>
      </x:c>
      <x:c r="C14" s="13" t="n">
        <x:v>2</x:v>
      </x:c>
      <x:c r="D14" s="13" t="n">
        <x:v>5</x:v>
      </x:c>
      <x:c r="E14" s="13" t="n">
        <x:v>0</x:v>
      </x:c>
      <x:c r="F14" s="13" t="n">
        <x:v>4</x:v>
      </x:c>
      <x:c r="G14" s="13" t="n">
        <x:v>3</x:v>
      </x:c>
      <x:c r="H14" s="13" t="n">
        <x:f>C14*F14+G14</x:f>
        <x:v>11</x:v>
      </x:c>
      <x:c r="I14" s="13" t="n">
        <x:f>MAX(0,H14-D14-E14)</x:f>
        <x:v>6</x:v>
      </x:c>
      <x:c r="J14" s="13" t="n">
        <x:v>12</x:v>
      </x:c>
      <x:c r="K14" s="13" t="n">
        <x:f>ROUNDUP(I14/J14,0)*J14</x:f>
        <x:v>12</x:v>
      </x:c>
      <x:c r="L14" s="13" t="str">
        <x:f>IF(D14/C14&lt;F14,"CRITICAL",IF(K14&gt;0,"REORDER","HEALTHY"))</x:f>
        <x:v>CRITICAL</x:v>
      </x:c>
    </x:row>
    <x:row r="15" ht="21" customHeight="1">
      <x:c r="A15" s="13" t="str">
        <x:v>LGT1795</x:v>
      </x:c>
      <x:c r="B15" s="13" t="str">
        <x:v>Harbour Cotton House</x:v>
      </x:c>
      <x:c r="C15" s="13" t="n">
        <x:v>2</x:v>
      </x:c>
      <x:c r="D15" s="13" t="n">
        <x:v>5</x:v>
      </x:c>
      <x:c r="E15" s="13" t="n">
        <x:v>0</x:v>
      </x:c>
      <x:c r="F15" s="13" t="n">
        <x:v>4</x:v>
      </x:c>
      <x:c r="G15" s="13" t="n">
        <x:v>3</x:v>
      </x:c>
      <x:c r="H15" s="13" t="n">
        <x:f>C15*F15+G15</x:f>
        <x:v>11</x:v>
      </x:c>
      <x:c r="I15" s="13" t="n">
        <x:f>MAX(0,H15-D15-E15)</x:f>
        <x:v>6</x:v>
      </x:c>
      <x:c r="J15" s="13" t="n">
        <x:v>12</x:v>
      </x:c>
      <x:c r="K15" s="13" t="n">
        <x:f>ROUNDUP(I15/J15,0)*J15</x:f>
        <x:v>12</x:v>
      </x:c>
      <x:c r="L15" s="13" t="str">
        <x:f>IF(D15/C15&lt;F15,"CRITICAL",IF(K15&gt;0,"REORDER","HEALTHY"))</x:f>
        <x:v>CRITICAL</x:v>
      </x:c>
    </x:row>
    <x:row r="16" ht="21" customHeight="1">
      <x:c r="A16" s="14" t="str">
        <x:v>SEA0703</x:v>
      </x:c>
      <x:c r="B16" s="14" t="str">
        <x:v>Harbour Rattan Line</x:v>
      </x:c>
      <x:c r="C16" s="14" t="n">
        <x:v>2</x:v>
      </x:c>
      <x:c r="D16" s="14" t="n">
        <x:v>3</x:v>
      </x:c>
      <x:c r="E16" s="14" t="n">
        <x:v>12</x:v>
      </x:c>
      <x:c r="F16" s="14" t="n">
        <x:v>4</x:v>
      </x:c>
      <x:c r="G16" s="14" t="n">
        <x:v>3</x:v>
      </x:c>
      <x:c r="H16" s="14" t="n">
        <x:f>C16*F16+G16</x:f>
        <x:v>11</x:v>
      </x:c>
      <x:c r="I16" s="14" t="n">
        <x:f>MAX(0,H16-D16-E16)</x:f>
        <x:v>0</x:v>
      </x:c>
      <x:c r="J16" s="14" t="n">
        <x:v>12</x:v>
      </x:c>
      <x:c r="K16" s="14" t="n">
        <x:f>ROUNDUP(I16/J16,0)*J16</x:f>
        <x:v>0</x:v>
      </x:c>
      <x:c r="L16" s="14" t="str">
        <x:f>IF(D16/C16&lt;F16,"CRITICAL",IF(K16&gt;0,"REORDER","HEALTHY"))</x:f>
        <x:v>CRITICAL</x:v>
      </x:c>
    </x:row>
    <x:row r="17">
      <x:c r="A17" s="141"/>
      <x:c r="B17" s="141"/>
      <x:c r="C17" s="141"/>
      <x:c r="D17" s="141"/>
      <x:c r="E17" s="141"/>
      <x:c r="F17" s="141"/>
      <x:c r="G17" s="141"/>
      <x:c r="H17" s="141"/>
      <x:c r="I17" s="141"/>
      <x:c r="J17" s="141"/>
      <x:c r="K17" s="141"/>
      <x:c r="L17" s="141"/>
    </x:row>
    <x:row r="18">
      <x:c r="A18" s="141"/>
      <x:c r="B18" s="141"/>
      <x:c r="C18" s="141"/>
      <x:c r="D18" s="141"/>
      <x:c r="E18" s="141"/>
      <x:c r="F18" s="141"/>
      <x:c r="G18" s="141"/>
      <x:c r="H18" s="141"/>
      <x:c r="I18" s="141"/>
      <x:c r="J18" s="141"/>
      <x:c r="K18" s="141"/>
      <x:c r="L18" s="141"/>
    </x:row>
    <x:row r="19">
      <x:c r="A19" s="141"/>
      <x:c r="B19" s="141"/>
      <x:c r="C19" s="141"/>
      <x:c r="D19" s="141"/>
      <x:c r="E19" s="141"/>
      <x:c r="F19" s="141"/>
      <x:c r="G19" s="141"/>
      <x:c r="H19" s="141"/>
      <x:c r="I19" s="141"/>
      <x:c r="J19" s="141"/>
      <x:c r="K19" s="141"/>
      <x:c r="L19" s="141"/>
    </x:row>
    <x:row r="20">
      <x:c r="A20" s="86" t="str">
        <x:v>PLANNING LOGIC
Expected demand during lead time + safety stock - available inventory = net requirement. Recommended quantity is rounded up to the vendor minimum order quantity. Critical items are expected to stock out before replacement inventory arrives.</x:v>
      </x:c>
      <x:c r="B20" s="87"/>
      <x:c r="C20" s="87"/>
      <x:c r="D20" s="87"/>
      <x:c r="E20" s="87"/>
      <x:c r="F20" s="87"/>
      <x:c r="G20" s="87"/>
      <x:c r="H20" s="87"/>
      <x:c r="I20" s="87"/>
      <x:c r="J20" s="87"/>
      <x:c r="K20" s="87"/>
      <x:c r="L20" s="87"/>
    </x:row>
    <x:row r="21">
      <x:c r="A21" s="86"/>
      <x:c r="B21" s="87"/>
      <x:c r="C21" s="87"/>
      <x:c r="D21" s="87"/>
      <x:c r="E21" s="87"/>
      <x:c r="F21" s="87"/>
      <x:c r="G21" s="87"/>
      <x:c r="H21" s="87"/>
      <x:c r="I21" s="87"/>
      <x:c r="J21" s="87"/>
      <x:c r="K21" s="87"/>
      <x:c r="L21" s="87"/>
    </x:row>
    <x:row r="22">
      <x:c r="A22" s="86"/>
      <x:c r="B22" s="87"/>
      <x:c r="C22" s="87"/>
      <x:c r="D22" s="87"/>
      <x:c r="E22" s="87"/>
      <x:c r="F22" s="87"/>
      <x:c r="G22" s="87"/>
      <x:c r="H22" s="87"/>
      <x:c r="I22" s="87"/>
      <x:c r="J22" s="87"/>
      <x:c r="K22" s="87"/>
      <x:c r="L22" s="87"/>
    </x:row>
    <x:row r="23">
      <x:c r="A23" s="86"/>
      <x:c r="B23" s="87"/>
      <x:c r="C23" s="87"/>
      <x:c r="D23" s="87"/>
      <x:c r="E23" s="87"/>
      <x:c r="F23" s="87"/>
      <x:c r="G23" s="87"/>
      <x:c r="H23" s="87"/>
      <x:c r="I23" s="87"/>
      <x:c r="J23" s="87"/>
      <x:c r="K23" s="87"/>
      <x:c r="L23" s="87"/>
    </x:row>
    <x:row r="24">
      <x:c r="A24" s="86"/>
      <x:c r="B24" s="87"/>
      <x:c r="C24" s="87"/>
      <x:c r="D24" s="87"/>
      <x:c r="E24" s="87"/>
      <x:c r="F24" s="87"/>
      <x:c r="G24" s="87"/>
      <x:c r="H24" s="87"/>
      <x:c r="I24" s="87"/>
      <x:c r="J24" s="87"/>
      <x:c r="K24" s="87"/>
      <x:c r="L24" s="87"/>
    </x:row>
    <x:row r="25">
      <x:c r="A25" s="86"/>
      <x:c r="B25" s="87"/>
      <x:c r="C25" s="87"/>
      <x:c r="D25" s="87"/>
      <x:c r="E25" s="87"/>
      <x:c r="F25" s="87"/>
      <x:c r="G25" s="87"/>
      <x:c r="H25" s="87"/>
      <x:c r="I25" s="87"/>
      <x:c r="J25" s="87"/>
      <x:c r="K25" s="87"/>
      <x:c r="L25" s="87"/>
    </x:row>
    <x:row r="26">
      <x:c r="A26" s="141"/>
      <x:c r="B26" s="141"/>
      <x:c r="C26" s="141"/>
      <x:c r="D26" s="141"/>
      <x:c r="E26" s="141"/>
      <x:c r="F26" s="141"/>
      <x:c r="G26" s="141"/>
      <x:c r="H26" s="141"/>
      <x:c r="I26" s="141"/>
      <x:c r="J26" s="141"/>
      <x:c r="K26" s="141"/>
      <x:c r="L26" s="141"/>
    </x:row>
    <x:row r="27">
      <x:c r="A27" s="141"/>
      <x:c r="B27" s="141"/>
      <x:c r="C27" s="141"/>
      <x:c r="D27" s="141"/>
      <x:c r="E27" s="141"/>
      <x:c r="F27" s="141"/>
      <x:c r="G27" s="141"/>
      <x:c r="H27" s="141"/>
      <x:c r="I27" s="141"/>
      <x:c r="J27" s="141"/>
      <x:c r="K27" s="141"/>
      <x:c r="L27" s="141"/>
    </x:row>
    <x:row r="28">
      <x:c r="A28" s="141"/>
      <x:c r="B28" s="141"/>
      <x:c r="C28" s="141"/>
      <x:c r="D28" s="141"/>
      <x:c r="E28" s="141"/>
      <x:c r="F28" s="141"/>
      <x:c r="G28" s="141"/>
      <x:c r="H28" s="141"/>
      <x:c r="I28" s="141"/>
      <x:c r="J28" s="141"/>
      <x:c r="K28" s="141"/>
      <x:c r="L28" s="141"/>
    </x:row>
    <x:row r="29">
      <x:c r="A29" s="141"/>
      <x:c r="B29" s="141"/>
      <x:c r="C29" s="141"/>
      <x:c r="D29" s="141"/>
      <x:c r="E29" s="141"/>
      <x:c r="F29" s="141"/>
      <x:c r="G29" s="141"/>
      <x:c r="H29" s="141"/>
      <x:c r="I29" s="141"/>
      <x:c r="J29" s="141"/>
      <x:c r="K29" s="141"/>
      <x:c r="L29" s="141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141"/>
      <x:c r="J30" s="141"/>
      <x:c r="K30" s="141"/>
      <x:c r="L30" s="141"/>
    </x:row>
    <x:row r="31">
      <x:c r="A31" s="141"/>
      <x:c r="B31" s="141"/>
      <x:c r="C31" s="141"/>
      <x:c r="D31" s="141"/>
      <x:c r="E31" s="141"/>
      <x:c r="F31" s="141"/>
      <x:c r="G31" s="141"/>
      <x:c r="H31" s="141"/>
      <x:c r="I31" s="141"/>
      <x:c r="J31" s="141"/>
      <x:c r="K31" s="141"/>
      <x:c r="L31" s="141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1"/>
      <x:c r="K32" s="141"/>
      <x:c r="L32" s="141"/>
    </x:row>
  </x:sheetData>
  <x:mergeCells>
    <x:mergeCell ref="A1:L1"/>
    <x:mergeCell ref="A2:L3"/>
    <x:mergeCell ref="A4:L4"/>
    <x:mergeCell ref="A20:L25"/>
  </x:mergeCells>
  <x:conditionalFormatting sqref="L7:L16">
    <x:cfRule type="expression" dxfId="4" priority="1">
      <x:formula>L7="CRITICAL"</x:formula>
    </x:cfRule>
    <x:cfRule type="expression" dxfId="5" priority="2">
      <x:formula>L7="REORDER"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2" hidden="0" customWidth="1"/>
  </x:cols>
  <x:sheetData>
    <x:row r="1" ht="24" customHeight="1">
      <x:c r="A1" s="42" t="str">
        <x:v>N O R T H S T A R   ·   HOME &amp; LIVING</x:v>
      </x:c>
      <x:c r="B1" s="141"/>
      <x:c r="C1" s="141"/>
      <x:c r="D1" s="141"/>
      <x:c r="E1" s="141"/>
      <x:c r="F1" s="141"/>
      <x:c r="G1" s="141"/>
      <x:c r="H1" s="141"/>
      <x:c r="I1" s="141"/>
      <x:c r="J1" s="141"/>
    </x:row>
    <x:row r="2">
      <x:c r="A2" s="44" t="str">
        <x:v>Inventory Rebalancing</x:v>
      </x:c>
      <x:c r="B2" s="141"/>
      <x:c r="C2" s="141"/>
      <x:c r="D2" s="141"/>
      <x:c r="E2" s="141"/>
      <x:c r="F2" s="141"/>
      <x:c r="G2" s="141"/>
      <x:c r="H2" s="141"/>
      <x:c r="I2" s="141"/>
      <x:c r="J2" s="141"/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</x:row>
    <x:row r="4" ht="22" customHeight="1">
      <x:c r="A4" s="46" t="str">
        <x:v>Store-to-store transfers before markdown</x:v>
      </x:c>
      <x:c r="B4" s="141"/>
      <x:c r="C4" s="141"/>
      <x:c r="D4" s="141"/>
      <x:c r="E4" s="141"/>
      <x:c r="F4" s="141"/>
      <x:c r="G4" s="141"/>
      <x:c r="H4" s="141"/>
      <x:c r="I4" s="141"/>
      <x:c r="J4" s="141"/>
    </x:row>
    <x:row r="5">
      <x:c r="A5" s="141"/>
      <x:c r="B5" s="141"/>
      <x:c r="C5" s="141"/>
      <x:c r="D5" s="141"/>
      <x:c r="E5" s="141"/>
      <x:c r="F5" s="141"/>
      <x:c r="G5" s="141"/>
      <x:c r="H5" s="141"/>
      <x:c r="I5" s="141"/>
      <x:c r="J5" s="141"/>
    </x:row>
    <x:row r="6" ht="24" customHeight="1">
      <x:c r="A6" s="6" t="str">
        <x:v>SKU</x:v>
      </x:c>
      <x:c r="B6" s="6" t="str">
        <x:v>Product</x:v>
      </x:c>
      <x:c r="C6" s="6" t="str">
        <x:v>From Store</x:v>
      </x:c>
      <x:c r="D6" s="6" t="str">
        <x:v>To Store</x:v>
      </x:c>
      <x:c r="E6" s="6" t="str">
        <x:v>Transfer Units</x:v>
      </x:c>
      <x:c r="F6" s="6" t="str">
        <x:v>From WOS</x:v>
      </x:c>
      <x:c r="G6" s="6" t="str">
        <x:v>To WOS</x:v>
      </x:c>
      <x:c r="H6" s="6" t="str">
        <x:v>Post-Transfer From WOS</x:v>
      </x:c>
      <x:c r="I6" s="6" t="str">
        <x:v>Post-Transfer To WOS</x:v>
      </x:c>
      <x:c r="J6" s="6" t="str">
        <x:v>Priority</x:v>
      </x:c>
    </x:row>
    <x:row r="7" ht="21" customHeight="1">
      <x:c r="A7" s="12" t="str">
        <x:f>'10_Data'!W2</x:f>
        <x:v>ORG1744</x:v>
      </x:c>
      <x:c r="B7" s="12" t="str">
        <x:f>'10_Data'!X2</x:f>
        <x:v>Noir Glass House</x:v>
      </x:c>
      <x:c r="C7" s="12" t="str">
        <x:f>'10_Data'!Y2</x:f>
        <x:v>Moncton</x:v>
      </x:c>
      <x:c r="D7" s="12" t="str">
        <x:f>'10_Data'!Z2</x:f>
        <x:v>Halifax</x:v>
      </x:c>
      <x:c r="E7" s="12" t="n">
        <x:f>'10_Data'!AA2</x:f>
        <x:v>6</x:v>
      </x:c>
      <x:c r="F7" s="21" t="n">
        <x:f>'10_Data'!AB2</x:f>
        <x:v>8.7</x:v>
      </x:c>
      <x:c r="G7" s="21" t="n">
        <x:f>'10_Data'!AC2</x:f>
        <x:v>0</x:v>
      </x:c>
      <x:c r="H7" s="21" t="n">
        <x:f>MAX(0,F7-E7/4)</x:f>
        <x:v>7.199999999999999</x:v>
      </x:c>
      <x:c r="I7" s="21" t="n">
        <x:f>G7+E7/4</x:f>
        <x:v>1.5</x:v>
      </x:c>
      <x:c r="J7" s="12" t="str">
        <x:f>IF(G7&lt;1.5,"URGENT","HIGH")</x:f>
        <x:v>URGENT</x:v>
      </x:c>
    </x:row>
    <x:row r="8" ht="21" customHeight="1">
      <x:c r="A8" s="13" t="str">
        <x:f>'10_Data'!W3</x:f>
        <x:v>HAL2007</x:v>
      </x:c>
      <x:c r="B8" s="13" t="str">
        <x:f>'10_Data'!X3</x:f>
        <x:v>Marlow Rattan Edit</x:v>
      </x:c>
      <x:c r="C8" s="13" t="str">
        <x:f>'10_Data'!Y3</x:f>
        <x:v>Charlottetown</x:v>
      </x:c>
      <x:c r="D8" s="13" t="str">
        <x:f>'10_Data'!Z3</x:f>
        <x:v>Halifax</x:v>
      </x:c>
      <x:c r="E8" s="13" t="n">
        <x:f>'10_Data'!AA3</x:f>
        <x:v>8</x:v>
      </x:c>
      <x:c r="F8" s="22" t="n">
        <x:f>'10_Data'!AB3</x:f>
        <x:v>8.8</x:v>
      </x:c>
      <x:c r="G8" s="22" t="n">
        <x:f>'10_Data'!AC3</x:f>
        <x:v>0.9</x:v>
      </x:c>
      <x:c r="H8" s="22" t="n">
        <x:f>MAX(0,F8-E8/4)</x:f>
        <x:v>6.800000000000001</x:v>
      </x:c>
      <x:c r="I8" s="22" t="n">
        <x:f>G8+E8/4</x:f>
        <x:v>2.9</x:v>
      </x:c>
      <x:c r="J8" s="13" t="str">
        <x:f>IF(G8&lt;1.5,"URGENT","HIGH")</x:f>
        <x:v>URGENT</x:v>
      </x:c>
    </x:row>
    <x:row r="9" ht="21" customHeight="1">
      <x:c r="A9" s="13" t="str">
        <x:f>'10_Data'!W4</x:f>
        <x:v>CHR1969</x:v>
      </x:c>
      <x:c r="B9" s="13" t="str">
        <x:f>'10_Data'!X4</x:f>
        <x:v>Arc Marble Collection</x:v>
      </x:c>
      <x:c r="C9" s="13" t="str">
        <x:f>'10_Data'!Y4</x:f>
        <x:v>Moncton</x:v>
      </x:c>
      <x:c r="D9" s="13" t="str">
        <x:f>'10_Data'!Z4</x:f>
        <x:v>Toronto</x:v>
      </x:c>
      <x:c r="E9" s="13" t="n">
        <x:f>'10_Data'!AA4</x:f>
        <x:v>12</x:v>
      </x:c>
      <x:c r="F9" s="22" t="n">
        <x:f>'10_Data'!AB4</x:f>
        <x:v>9.4</x:v>
      </x:c>
      <x:c r="G9" s="22" t="n">
        <x:f>'10_Data'!AC4</x:f>
        <x:v>1.1</x:v>
      </x:c>
      <x:c r="H9" s="22" t="n">
        <x:f>MAX(0,F9-E9/4)</x:f>
        <x:v>6.4</x:v>
      </x:c>
      <x:c r="I9" s="22" t="n">
        <x:f>G9+E9/4</x:f>
        <x:v>4.1</x:v>
      </x:c>
      <x:c r="J9" s="13" t="str">
        <x:f>IF(G9&lt;1.5,"URGENT","HIGH")</x:f>
        <x:v>URGENT</x:v>
      </x:c>
    </x:row>
    <x:row r="10" ht="21" customHeight="1">
      <x:c r="A10" s="13" t="str">
        <x:f>'10_Data'!W5</x:f>
        <x:v>HAL2018</x:v>
      </x:c>
      <x:c r="B10" s="13" t="str">
        <x:f>'10_Data'!X5</x:f>
        <x:v>Mira Marble Form</x:v>
      </x:c>
      <x:c r="C10" s="13" t="str">
        <x:f>'10_Data'!Y5</x:f>
        <x:v>London</x:v>
      </x:c>
      <x:c r="D10" s="13" t="str">
        <x:f>'10_Data'!Z5</x:f>
        <x:v>Ottawa</x:v>
      </x:c>
      <x:c r="E10" s="13" t="n">
        <x:f>'10_Data'!AA5</x:f>
        <x:v>16</x:v>
      </x:c>
      <x:c r="F10" s="22" t="n">
        <x:f>'10_Data'!AB5</x:f>
        <x:v>10</x:v>
      </x:c>
      <x:c r="G10" s="22" t="n">
        <x:f>'10_Data'!AC5</x:f>
        <x:v>1.3</x:v>
      </x:c>
      <x:c r="H10" s="22" t="n">
        <x:f>MAX(0,F10-E10/4)</x:f>
        <x:v>6</x:v>
      </x:c>
      <x:c r="I10" s="22" t="n">
        <x:f>G10+E10/4</x:f>
        <x:v>5.3</x:v>
      </x:c>
      <x:c r="J10" s="13" t="str">
        <x:f>IF(G10&lt;1.5,"URGENT","HIGH")</x:f>
        <x:v>URGENT</x:v>
      </x:c>
    </x:row>
    <x:row r="11" ht="21" customHeight="1">
      <x:c r="A11" s="13" t="str">
        <x:f>'10_Data'!W6</x:f>
        <x:v>CHR1940</x:v>
      </x:c>
      <x:c r="B11" s="13" t="str">
        <x:f>'10_Data'!X6</x:f>
        <x:v>Luna Cotton Collection</x:v>
      </x:c>
      <x:c r="C11" s="13" t="str">
        <x:f>'10_Data'!Y6</x:f>
        <x:v>Kingston</x:v>
      </x:c>
      <x:c r="D11" s="13" t="str">
        <x:f>'10_Data'!Z6</x:f>
        <x:v>Mississauga</x:v>
      </x:c>
      <x:c r="E11" s="13" t="n">
        <x:f>'10_Data'!AA6</x:f>
        <x:v>20</x:v>
      </x:c>
      <x:c r="F11" s="22" t="n">
        <x:f>'10_Data'!AB6</x:f>
        <x:v>10.6</x:v>
      </x:c>
      <x:c r="G11" s="22" t="n">
        <x:f>'10_Data'!AC6</x:f>
        <x:v>1.5</x:v>
      </x:c>
      <x:c r="H11" s="22" t="n">
        <x:f>MAX(0,F11-E11/4)</x:f>
        <x:v>5.6</x:v>
      </x:c>
      <x:c r="I11" s="22" t="n">
        <x:f>G11+E11/4</x:f>
        <x:v>6.5</x:v>
      </x:c>
      <x:c r="J11" s="13" t="str">
        <x:f>IF(G11&lt;1.5,"URGENT","HIGH")</x:f>
        <x:v>HIGH</x:v>
      </x:c>
    </x:row>
    <x:row r="12" ht="21" customHeight="1">
      <x:c r="A12" s="13" t="str">
        <x:f>'10_Data'!W7</x:f>
        <x:v>CHR1953</x:v>
      </x:c>
      <x:c r="B12" s="13" t="str">
        <x:f>'10_Data'!X7</x:f>
        <x:v>Avery Cotton Atelier</x:v>
      </x:c>
      <x:c r="C12" s="13" t="str">
        <x:f>'10_Data'!Y7</x:f>
        <x:v>Charlottetown</x:v>
      </x:c>
      <x:c r="D12" s="13" t="str">
        <x:f>'10_Data'!Z7</x:f>
        <x:v>Halifax</x:v>
      </x:c>
      <x:c r="E12" s="13" t="n">
        <x:f>'10_Data'!AA7</x:f>
        <x:v>8</x:v>
      </x:c>
      <x:c r="F12" s="22" t="n">
        <x:f>'10_Data'!AB7</x:f>
        <x:v>11.2</x:v>
      </x:c>
      <x:c r="G12" s="22" t="n">
        <x:f>'10_Data'!AC7</x:f>
        <x:v>1.7</x:v>
      </x:c>
      <x:c r="H12" s="22" t="n">
        <x:f>MAX(0,F12-E12/4)</x:f>
        <x:v>9.2</x:v>
      </x:c>
      <x:c r="I12" s="22" t="n">
        <x:f>G12+E12/4</x:f>
        <x:v>3.7</x:v>
      </x:c>
      <x:c r="J12" s="13" t="str">
        <x:f>IF(G12&lt;1.5,"URGENT","HIGH")</x:f>
        <x:v>HIGH</x:v>
      </x:c>
    </x:row>
    <x:row r="13" ht="21" customHeight="1">
      <x:c r="A13" s="13" t="str">
        <x:f>'10_Data'!W8</x:f>
        <x:v>DEC0118</x:v>
      </x:c>
      <x:c r="B13" s="13" t="str">
        <x:f>'10_Data'!X8</x:f>
        <x:v>Marlow Brass Studio</x:v>
      </x:c>
      <x:c r="C13" s="13" t="str">
        <x:f>'10_Data'!Y8</x:f>
        <x:v>Moncton</x:v>
      </x:c>
      <x:c r="D13" s="13" t="str">
        <x:f>'10_Data'!Z8</x:f>
        <x:v>Toronto</x:v>
      </x:c>
      <x:c r="E13" s="13" t="n">
        <x:f>'10_Data'!AA8</x:f>
        <x:v>12</x:v>
      </x:c>
      <x:c r="F13" s="22" t="n">
        <x:f>'10_Data'!AB8</x:f>
        <x:v>11.8</x:v>
      </x:c>
      <x:c r="G13" s="22" t="n">
        <x:f>'10_Data'!AC8</x:f>
        <x:v>1.9</x:v>
      </x:c>
      <x:c r="H13" s="22" t="n">
        <x:f>MAX(0,F13-E13/4)</x:f>
        <x:v>8.8</x:v>
      </x:c>
      <x:c r="I13" s="22" t="n">
        <x:f>G13+E13/4</x:f>
        <x:v>4.9</x:v>
      </x:c>
      <x:c r="J13" s="13" t="str">
        <x:f>IF(G13&lt;1.5,"URGENT","HIGH")</x:f>
        <x:v>HIGH</x:v>
      </x:c>
    </x:row>
    <x:row r="14" ht="21" customHeight="1">
      <x:c r="A14" s="14" t="str">
        <x:f>'10_Data'!W9</x:f>
        <x:v>HAL2010</x:v>
      </x:c>
      <x:c r="B14" s="14" t="str">
        <x:f>'10_Data'!X9</x:f>
        <x:v>Sable Marble Studio</x:v>
      </x:c>
      <x:c r="C14" s="14" t="str">
        <x:f>'10_Data'!Y9</x:f>
        <x:v>London</x:v>
      </x:c>
      <x:c r="D14" s="14" t="str">
        <x:f>'10_Data'!Z9</x:f>
        <x:v>Ottawa</x:v>
      </x:c>
      <x:c r="E14" s="14" t="n">
        <x:f>'10_Data'!AA9</x:f>
        <x:v>16</x:v>
      </x:c>
      <x:c r="F14" s="23" t="n">
        <x:f>'10_Data'!AB9</x:f>
        <x:v>12.4</x:v>
      </x:c>
      <x:c r="G14" s="23" t="n">
        <x:f>'10_Data'!AC9</x:f>
        <x:v>2.1</x:v>
      </x:c>
      <x:c r="H14" s="23" t="n">
        <x:f>MAX(0,F14-E14/4)</x:f>
        <x:v>8.4</x:v>
      </x:c>
      <x:c r="I14" s="23" t="n">
        <x:f>G14+E14/4</x:f>
        <x:v>6.1</x:v>
      </x:c>
      <x:c r="J14" s="14" t="str">
        <x:f>IF(G14&lt;1.5,"URGENT","HIGH")</x:f>
        <x:v>HIGH</x:v>
      </x:c>
    </x:row>
    <x:row r="15">
      <x:c r="A15" s="141"/>
      <x:c r="B15" s="141"/>
      <x:c r="C15" s="141"/>
      <x:c r="D15" s="141"/>
      <x:c r="E15" s="141"/>
      <x:c r="F15" s="141"/>
      <x:c r="G15" s="141"/>
      <x:c r="H15" s="141"/>
      <x:c r="I15" s="141"/>
      <x:c r="J15" s="141"/>
    </x:row>
    <x:row r="16">
      <x:c r="A16" s="141"/>
      <x:c r="B16" s="141"/>
      <x:c r="C16" s="141"/>
      <x:c r="D16" s="141"/>
      <x:c r="E16" s="141"/>
      <x:c r="F16" s="141"/>
      <x:c r="G16" s="141"/>
      <x:c r="H16" s="141"/>
      <x:c r="I16" s="141"/>
      <x:c r="J16" s="141"/>
    </x:row>
    <x:row r="17">
      <x:c r="A17" s="141"/>
      <x:c r="B17" s="141"/>
      <x:c r="C17" s="141"/>
      <x:c r="D17" s="141"/>
      <x:c r="E17" s="141"/>
      <x:c r="F17" s="141"/>
      <x:c r="G17" s="141"/>
      <x:c r="H17" s="141"/>
      <x:c r="I17" s="141"/>
      <x:c r="J17" s="141"/>
    </x:row>
    <x:row r="18">
      <x:c r="A18" s="141"/>
      <x:c r="B18" s="141"/>
      <x:c r="C18" s="141"/>
      <x:c r="D18" s="141"/>
      <x:c r="E18" s="141"/>
      <x:c r="F18" s="141"/>
      <x:c r="G18" s="141"/>
      <x:c r="H18" s="141"/>
      <x:c r="I18" s="141"/>
      <x:c r="J18" s="141"/>
    </x:row>
    <x:row r="19">
      <x:c r="A19" s="105" t="str">
        <x:v>ACTION
Execute high-priority transfers within 48 hours. Rebalancing protects margin by placing units where demand is already proven, reducing the need for premature markdowns in donor stores.</x:v>
      </x:c>
      <x:c r="B19" s="106"/>
      <x:c r="C19" s="106"/>
      <x:c r="D19" s="106"/>
      <x:c r="E19" s="106"/>
      <x:c r="F19" s="106"/>
      <x:c r="G19" s="106"/>
      <x:c r="H19" s="106"/>
      <x:c r="I19" s="106"/>
      <x:c r="J19" s="106"/>
    </x:row>
    <x:row r="20">
      <x:c r="A20" s="105"/>
      <x:c r="B20" s="106"/>
      <x:c r="C20" s="106"/>
      <x:c r="D20" s="106"/>
      <x:c r="E20" s="106"/>
      <x:c r="F20" s="106"/>
      <x:c r="G20" s="106"/>
      <x:c r="H20" s="106"/>
      <x:c r="I20" s="106"/>
      <x:c r="J20" s="106"/>
    </x:row>
    <x:row r="21">
      <x:c r="A21" s="105"/>
      <x:c r="B21" s="106"/>
      <x:c r="C21" s="106"/>
      <x:c r="D21" s="106"/>
      <x:c r="E21" s="106"/>
      <x:c r="F21" s="106"/>
      <x:c r="G21" s="106"/>
      <x:c r="H21" s="106"/>
      <x:c r="I21" s="106"/>
      <x:c r="J21" s="106"/>
    </x:row>
    <x:row r="22">
      <x:c r="A22" s="105"/>
      <x:c r="B22" s="106"/>
      <x:c r="C22" s="106"/>
      <x:c r="D22" s="106"/>
      <x:c r="E22" s="106"/>
      <x:c r="F22" s="106"/>
      <x:c r="G22" s="106"/>
      <x:c r="H22" s="106"/>
      <x:c r="I22" s="106"/>
      <x:c r="J22" s="106"/>
    </x:row>
    <x:row r="23">
      <x:c r="A23" s="105"/>
      <x:c r="B23" s="106"/>
      <x:c r="C23" s="106"/>
      <x:c r="D23" s="106"/>
      <x:c r="E23" s="106"/>
      <x:c r="F23" s="106"/>
      <x:c r="G23" s="106"/>
      <x:c r="H23" s="106"/>
      <x:c r="I23" s="106"/>
      <x:c r="J23" s="106"/>
    </x:row>
    <x:row r="24">
      <x:c r="A24" s="105"/>
      <x:c r="B24" s="106"/>
      <x:c r="C24" s="106"/>
      <x:c r="D24" s="106"/>
      <x:c r="E24" s="106"/>
      <x:c r="F24" s="106"/>
      <x:c r="G24" s="106"/>
      <x:c r="H24" s="106"/>
      <x:c r="I24" s="106"/>
      <x:c r="J24" s="106"/>
    </x:row>
    <x:row r="25">
      <x:c r="A25" s="141"/>
      <x:c r="B25" s="141"/>
      <x:c r="C25" s="141"/>
      <x:c r="D25" s="141"/>
      <x:c r="E25" s="141"/>
      <x:c r="F25" s="141"/>
      <x:c r="G25" s="141"/>
      <x:c r="H25" s="141"/>
      <x:c r="I25" s="141"/>
      <x:c r="J25" s="141"/>
    </x:row>
    <x:row r="26">
      <x:c r="A26" s="141"/>
      <x:c r="B26" s="141"/>
      <x:c r="C26" s="141"/>
      <x:c r="D26" s="141"/>
      <x:c r="E26" s="141"/>
      <x:c r="F26" s="141"/>
      <x:c r="G26" s="141"/>
      <x:c r="H26" s="141"/>
      <x:c r="I26" s="141"/>
      <x:c r="J26" s="141"/>
    </x:row>
    <x:row r="27">
      <x:c r="A27" s="141"/>
      <x:c r="B27" s="141"/>
      <x:c r="C27" s="141"/>
      <x:c r="D27" s="141"/>
      <x:c r="E27" s="141"/>
      <x:c r="F27" s="141"/>
      <x:c r="G27" s="141"/>
      <x:c r="H27" s="141"/>
      <x:c r="I27" s="141"/>
      <x:c r="J27" s="141"/>
    </x:row>
    <x:row r="28">
      <x:c r="A28" s="141"/>
      <x:c r="B28" s="141"/>
      <x:c r="C28" s="141"/>
      <x:c r="D28" s="141"/>
      <x:c r="E28" s="141"/>
      <x:c r="F28" s="141"/>
      <x:c r="G28" s="141"/>
      <x:c r="H28" s="141"/>
      <x:c r="I28" s="141"/>
      <x:c r="J28" s="141"/>
    </x:row>
  </x:sheetData>
  <x:mergeCells>
    <x:mergeCell ref="A1:J1"/>
    <x:mergeCell ref="A2:J3"/>
    <x:mergeCell ref="A4:J4"/>
    <x:mergeCell ref="A19:J24"/>
  </x:mergeCells>
  <x:conditionalFormatting sqref="J7:J14">
    <x:cfRule type="expression" dxfId="6" priority="1">
      <x:formula>J7="URGENT"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42" t="str">
        <x:v>N O R T H S T A R   ·   HOME &amp; LIVING</x:v>
      </x:c>
      <x:c r="B1" s="141"/>
      <x:c r="C1" s="141"/>
      <x:c r="D1" s="141"/>
      <x:c r="E1" s="141"/>
      <x:c r="F1" s="141"/>
      <x:c r="G1" s="141"/>
      <x:c r="H1" s="141"/>
      <x:c r="I1" s="141"/>
      <x:c r="J1" s="141"/>
    </x:row>
    <x:row r="2">
      <x:c r="A2" s="44" t="str">
        <x:v>Markdown &amp; Exit Strategy</x:v>
      </x:c>
      <x:c r="B2" s="141"/>
      <x:c r="C2" s="141"/>
      <x:c r="D2" s="141"/>
      <x:c r="E2" s="141"/>
      <x:c r="F2" s="141"/>
      <x:c r="G2" s="141"/>
      <x:c r="H2" s="141"/>
      <x:c r="I2" s="141"/>
      <x:c r="J2" s="141"/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</x:row>
    <x:row r="4" ht="22" customHeight="1">
      <x:c r="A4" s="46" t="str">
        <x:v>Inventory clearance · margin protection · sales velocity</x:v>
      </x:c>
      <x:c r="B4" s="141"/>
      <x:c r="C4" s="141"/>
      <x:c r="D4" s="141"/>
      <x:c r="E4" s="141"/>
      <x:c r="F4" s="141"/>
      <x:c r="G4" s="141"/>
      <x:c r="H4" s="141"/>
      <x:c r="I4" s="141"/>
      <x:c r="J4" s="141"/>
    </x:row>
    <x:row r="5">
      <x:c r="A5" s="141"/>
      <x:c r="B5" s="141"/>
      <x:c r="C5" s="141"/>
      <x:c r="D5" s="141"/>
      <x:c r="E5" s="141"/>
      <x:c r="F5" s="141"/>
      <x:c r="G5" s="141"/>
      <x:c r="H5" s="141"/>
      <x:c r="I5" s="141"/>
      <x:c r="J5" s="141"/>
    </x:row>
    <x:row r="6" ht="24" customHeight="1">
      <x:c r="A6" s="6" t="str">
        <x:v>SKU</x:v>
      </x:c>
      <x:c r="B6" s="6" t="str">
        <x:v>Product</x:v>
      </x:c>
      <x:c r="C6" s="6" t="str">
        <x:v>Category</x:v>
      </x:c>
      <x:c r="D6" s="6" t="str">
        <x:v>Sell-Through</x:v>
      </x:c>
      <x:c r="E6" s="6" t="str">
        <x:v>WOS</x:v>
      </x:c>
      <x:c r="F6" s="6" t="str">
        <x:v>Inventory Value</x:v>
      </x:c>
      <x:c r="G6" s="6" t="str">
        <x:v>Current Velocity</x:v>
      </x:c>
      <x:c r="H6" s="6" t="str">
        <x:v>Markdown</x:v>
      </x:c>
      <x:c r="I6" s="6" t="str">
        <x:v>Forecast Velocity</x:v>
      </x:c>
      <x:c r="J6" s="6" t="str">
        <x:v>Action</x:v>
      </x:c>
    </x:row>
    <x:row r="7" ht="21" customHeight="1">
      <x:c r="A7" s="12" t="str">
        <x:v>CHR1982</x:v>
      </x:c>
      <x:c r="B7" s="12" t="str">
        <x:v>Avery Marble Object</x:v>
      </x:c>
      <x:c r="C7" s="12" t="str">
        <x:v>Christmas Decor</x:v>
      </x:c>
      <x:c r="D7" s="18" t="n">
        <x:v>0.3333</x:v>
      </x:c>
      <x:c r="E7" s="21" t="n">
        <x:v>63.7</x:v>
      </x:c>
      <x:c r="F7" s="15" t="n">
        <x:v>445.98</x:v>
      </x:c>
      <x:c r="G7" s="12" t="n">
        <x:v>0.1</x:v>
      </x:c>
      <x:c r="H7" s="107" t="n">
        <x:f>IF(AND(D7&lt;30%,E7&gt;10),40%,IF(AND(D7&lt;40%,E7&gt;8),25%,20%))</x:f>
        <x:v>0.25</x:v>
      </x:c>
      <x:c r="I7" s="12" t="n">
        <x:f>G7*(1+H7*4)</x:f>
        <x:v>0.2</x:v>
      </x:c>
      <x:c r="J7" s="12" t="str">
        <x:f>IF(H7&gt;=40%,"EXIT",IF(H7&gt;=25%,"MARKDOWN","MONITOR"))</x:f>
        <x:v>MARKDOWN</x:v>
      </x:c>
    </x:row>
    <x:row r="8" ht="21" customHeight="1">
      <x:c r="A8" s="13" t="str">
        <x:v>CHR1984</x:v>
      </x:c>
      <x:c r="B8" s="13" t="str">
        <x:v>Vale Brass Atelier</x:v>
      </x:c>
      <x:c r="C8" s="13" t="str">
        <x:v>Christmas Decor</x:v>
      </x:c>
      <x:c r="D8" s="19" t="n">
        <x:v>0.3</x:v>
      </x:c>
      <x:c r="E8" s="22" t="n">
        <x:v>74.3</x:v>
      </x:c>
      <x:c r="F8" s="16" t="n">
        <x:v>456.33</x:v>
      </x:c>
      <x:c r="G8" s="13" t="n">
        <x:v>0.1</x:v>
      </x:c>
      <x:c r="H8" s="108" t="n">
        <x:f>IF(AND(D8&lt;30%,E8&gt;10),40%,IF(AND(D8&lt;40%,E8&gt;8),25%,20%))</x:f>
        <x:v>0.25</x:v>
      </x:c>
      <x:c r="I8" s="13" t="n">
        <x:f>G8*(1+H8*4)</x:f>
        <x:v>0.2</x:v>
      </x:c>
      <x:c r="J8" s="13" t="str">
        <x:f>IF(H8&gt;=40%,"EXIT",IF(H8&gt;=25%,"MARKDOWN","MONITOR"))</x:f>
        <x:v>MARKDOWN</x:v>
      </x:c>
    </x:row>
    <x:row r="9" ht="21" customHeight="1">
      <x:c r="A9" s="13" t="str">
        <x:v>CHR1966</x:v>
      </x:c>
      <x:c r="B9" s="13" t="str">
        <x:v>Ridge Glass Atelier</x:v>
      </x:c>
      <x:c r="C9" s="13" t="str">
        <x:v>Christmas Decor</x:v>
      </x:c>
      <x:c r="D9" s="19" t="n">
        <x:v>0.3077</x:v>
      </x:c>
      <x:c r="E9" s="22" t="n">
        <x:v>71.7</x:v>
      </x:c>
      <x:c r="F9" s="16" t="n">
        <x:v>469.17</x:v>
      </x:c>
      <x:c r="G9" s="13" t="n">
        <x:v>0.1</x:v>
      </x:c>
      <x:c r="H9" s="108" t="n">
        <x:f>IF(AND(D9&lt;30%,E9&gt;10),40%,IF(AND(D9&lt;40%,E9&gt;8),25%,20%))</x:f>
        <x:v>0.25</x:v>
      </x:c>
      <x:c r="I9" s="13" t="n">
        <x:f>G9*(1+H9*4)</x:f>
        <x:v>0.2</x:v>
      </x:c>
      <x:c r="J9" s="13" t="str">
        <x:f>IF(H9&gt;=40%,"EXIT",IF(H9&gt;=25%,"MARKDOWN","MONITOR"))</x:f>
        <x:v>MARKDOWN</x:v>
      </x:c>
    </x:row>
    <x:row r="10" ht="21" customHeight="1">
      <x:c r="A10" s="13" t="str">
        <x:v>CHR1928</x:v>
      </x:c>
      <x:c r="B10" s="13" t="str">
        <x:v>Mira Rattan Studio</x:v>
      </x:c>
      <x:c r="C10" s="13" t="str">
        <x:v>Christmas Decor</x:v>
      </x:c>
      <x:c r="D10" s="19" t="n">
        <x:v>0.2727</x:v>
      </x:c>
      <x:c r="E10" s="22" t="n">
        <x:v>85</x:v>
      </x:c>
      <x:c r="F10" s="16" t="n">
        <x:v>492.96</x:v>
      </x:c>
      <x:c r="G10" s="13" t="n">
        <x:v>0.1</x:v>
      </x:c>
      <x:c r="H10" s="108" t="n">
        <x:f>IF(AND(D10&lt;30%,E10&gt;10),40%,IF(AND(D10&lt;40%,E10&gt;8),25%,20%))</x:f>
        <x:v>0.4</x:v>
      </x:c>
      <x:c r="I10" s="13" t="n">
        <x:f>G10*(1+H10*4)</x:f>
        <x:v>0.26</x:v>
      </x:c>
      <x:c r="J10" s="13" t="str">
        <x:f>IF(H10&gt;=40%,"EXIT",IF(H10&gt;=25%,"MARKDOWN","MONITOR"))</x:f>
        <x:v>EXIT</x:v>
      </x:c>
    </x:row>
    <x:row r="11" ht="21" customHeight="1">
      <x:c r="A11" s="13" t="str">
        <x:v>CHR1929</x:v>
      </x:c>
      <x:c r="B11" s="13" t="str">
        <x:v>Cove Marble Vessel</x:v>
      </x:c>
      <x:c r="C11" s="13" t="str">
        <x:v>Christmas Decor</x:v>
      </x:c>
      <x:c r="D11" s="19" t="n">
        <x:v>0.3333</x:v>
      </x:c>
      <x:c r="E11" s="22" t="n">
        <x:v>63.7</x:v>
      </x:c>
      <x:c r="F11" s="16" t="n">
        <x:v>285</x:v>
      </x:c>
      <x:c r="G11" s="13" t="n">
        <x:v>0.1</x:v>
      </x:c>
      <x:c r="H11" s="108" t="n">
        <x:f>IF(AND(D11&lt;30%,E11&gt;10),40%,IF(AND(D11&lt;40%,E11&gt;8),25%,20%))</x:f>
        <x:v>0.25</x:v>
      </x:c>
      <x:c r="I11" s="13" t="n">
        <x:f>G11*(1+H11*4)</x:f>
        <x:v>0.2</x:v>
      </x:c>
      <x:c r="J11" s="13" t="str">
        <x:f>IF(H11&gt;=40%,"EXIT",IF(H11&gt;=25%,"MARKDOWN","MONITOR"))</x:f>
        <x:v>MARKDOWN</x:v>
      </x:c>
    </x:row>
    <x:row r="12" ht="21" customHeight="1">
      <x:c r="A12" s="13" t="str">
        <x:v>CHR1949</x:v>
      </x:c>
      <x:c r="B12" s="13" t="str">
        <x:v>Vale Rattan Form</x:v>
      </x:c>
      <x:c r="C12" s="13" t="str">
        <x:v>Christmas Decor</x:v>
      </x:c>
      <x:c r="D12" s="19" t="n">
        <x:v>0.25</x:v>
      </x:c>
      <x:c r="E12" s="22" t="n">
        <x:v>95.6</x:v>
      </x:c>
      <x:c r="F12" s="16" t="n">
        <x:v>471.9</x:v>
      </x:c>
      <x:c r="G12" s="13" t="n">
        <x:v>0.1</x:v>
      </x:c>
      <x:c r="H12" s="108" t="n">
        <x:f>IF(AND(D12&lt;30%,E12&gt;10),40%,IF(AND(D12&lt;40%,E12&gt;8),25%,20%))</x:f>
        <x:v>0.4</x:v>
      </x:c>
      <x:c r="I12" s="13" t="n">
        <x:f>G12*(1+H12*4)</x:f>
        <x:v>0.26</x:v>
      </x:c>
      <x:c r="J12" s="13" t="str">
        <x:f>IF(H12&gt;=40%,"EXIT",IF(H12&gt;=25%,"MARKDOWN","MONITOR"))</x:f>
        <x:v>EXIT</x:v>
      </x:c>
    </x:row>
    <x:row r="13" ht="21" customHeight="1">
      <x:c r="A13" s="13" t="str">
        <x:v>CHR1958</x:v>
      </x:c>
      <x:c r="B13" s="13" t="str">
        <x:v>Arc Brass Edit</x:v>
      </x:c>
      <x:c r="C13" s="13" t="str">
        <x:v>Christmas Decor</x:v>
      </x:c>
      <x:c r="D13" s="19" t="n">
        <x:v>0.2857</x:v>
      </x:c>
      <x:c r="E13" s="22" t="n">
        <x:v>79.6</x:v>
      </x:c>
      <x:c r="F13" s="16" t="n">
        <x:v>376.25</x:v>
      </x:c>
      <x:c r="G13" s="13" t="n">
        <x:v>0.1</x:v>
      </x:c>
      <x:c r="H13" s="108" t="n">
        <x:f>IF(AND(D13&lt;30%,E13&gt;10),40%,IF(AND(D13&lt;40%,E13&gt;8),25%,20%))</x:f>
        <x:v>0.4</x:v>
      </x:c>
      <x:c r="I13" s="13" t="n">
        <x:f>G13*(1+H13*4)</x:f>
        <x:v>0.26</x:v>
      </x:c>
      <x:c r="J13" s="13" t="str">
        <x:f>IF(H13&gt;=40%,"EXIT",IF(H13&gt;=25%,"MARKDOWN","MONITOR"))</x:f>
        <x:v>EXIT</x:v>
      </x:c>
    </x:row>
    <x:row r="14" ht="21" customHeight="1">
      <x:c r="A14" s="13" t="str">
        <x:v>CHR1950</x:v>
      </x:c>
      <x:c r="B14" s="13" t="str">
        <x:v>Sable Stone Line</x:v>
      </x:c>
      <x:c r="C14" s="13" t="str">
        <x:v>Christmas Decor</x:v>
      </x:c>
      <x:c r="D14" s="19" t="n">
        <x:v>0.3333</x:v>
      </x:c>
      <x:c r="E14" s="22" t="n">
        <x:v>63.7</x:v>
      </x:c>
      <x:c r="F14" s="16" t="n">
        <x:v>151.6</x:v>
      </x:c>
      <x:c r="G14" s="13" t="n">
        <x:v>0.1</x:v>
      </x:c>
      <x:c r="H14" s="108" t="n">
        <x:f>IF(AND(D14&lt;30%,E14&gt;10),40%,IF(AND(D14&lt;40%,E14&gt;8),25%,20%))</x:f>
        <x:v>0.25</x:v>
      </x:c>
      <x:c r="I14" s="13" t="n">
        <x:f>G14*(1+H14*4)</x:f>
        <x:v>0.2</x:v>
      </x:c>
      <x:c r="J14" s="13" t="str">
        <x:f>IF(H14&gt;=40%,"EXIT",IF(H14&gt;=25%,"MARKDOWN","MONITOR"))</x:f>
        <x:v>MARKDOWN</x:v>
      </x:c>
    </x:row>
    <x:row r="15" ht="21" customHeight="1">
      <x:c r="A15" s="13" t="str">
        <x:v>HAL2003</x:v>
      </x:c>
      <x:c r="B15" s="13" t="str">
        <x:v>Ridge Rattan Collection</x:v>
      </x:c>
      <x:c r="C15" s="13" t="str">
        <x:v>Halloween</x:v>
      </x:c>
      <x:c r="D15" s="19" t="n">
        <x:v>0.2857</x:v>
      </x:c>
      <x:c r="E15" s="22" t="n">
        <x:v>79.6</x:v>
      </x:c>
      <x:c r="F15" s="16" t="n">
        <x:v>147.75</x:v>
      </x:c>
      <x:c r="G15" s="13" t="n">
        <x:v>0.1</x:v>
      </x:c>
      <x:c r="H15" s="108" t="n">
        <x:f>IF(AND(D15&lt;30%,E15&gt;10),40%,IF(AND(D15&lt;40%,E15&gt;8),25%,20%))</x:f>
        <x:v>0.4</x:v>
      </x:c>
      <x:c r="I15" s="13" t="n">
        <x:f>G15*(1+H15*4)</x:f>
        <x:v>0.26</x:v>
      </x:c>
      <x:c r="J15" s="13" t="str">
        <x:f>IF(H15&gt;=40%,"EXIT",IF(H15&gt;=25%,"MARKDOWN","MONITOR"))</x:f>
        <x:v>EXIT</x:v>
      </x:c>
    </x:row>
    <x:row r="16" ht="21" customHeight="1">
      <x:c r="A16" s="14" t="str">
        <x:v>CHR1965</x:v>
      </x:c>
      <x:c r="B16" s="14" t="str">
        <x:v>Noir Oak Series</x:v>
      </x:c>
      <x:c r="C16" s="14" t="str">
        <x:v>Christmas Decor</x:v>
      </x:c>
      <x:c r="D16" s="20" t="n">
        <x:v>0.2857</x:v>
      </x:c>
      <x:c r="E16" s="23" t="n">
        <x:v>79.6</x:v>
      </x:c>
      <x:c r="F16" s="17" t="n">
        <x:v>98.75</x:v>
      </x:c>
      <x:c r="G16" s="14" t="n">
        <x:v>0.1</x:v>
      </x:c>
      <x:c r="H16" s="109" t="n">
        <x:f>IF(AND(D16&lt;30%,E16&gt;10),40%,IF(AND(D16&lt;40%,E16&gt;8),25%,20%))</x:f>
        <x:v>0.4</x:v>
      </x:c>
      <x:c r="I16" s="14" t="n">
        <x:f>G16*(1+H16*4)</x:f>
        <x:v>0.26</x:v>
      </x:c>
      <x:c r="J16" s="14" t="str">
        <x:f>IF(H16&gt;=40%,"EXIT",IF(H16&gt;=25%,"MARKDOWN","MONITOR"))</x:f>
        <x:v>EXIT</x:v>
      </x:c>
    </x:row>
    <x:row r="17">
      <x:c r="A17" s="141"/>
      <x:c r="B17" s="141"/>
      <x:c r="C17" s="141"/>
      <x:c r="D17" s="141"/>
      <x:c r="E17" s="141"/>
      <x:c r="F17" s="141"/>
      <x:c r="G17" s="141"/>
      <x:c r="H17" s="141"/>
      <x:c r="I17" s="141"/>
      <x:c r="J17" s="141"/>
    </x:row>
    <x:row r="18">
      <x:c r="A18" s="141"/>
      <x:c r="B18" s="141"/>
      <x:c r="C18" s="141"/>
      <x:c r="D18" s="141"/>
      <x:c r="E18" s="141"/>
      <x:c r="F18" s="141"/>
      <x:c r="G18" s="141"/>
      <x:c r="H18" s="141"/>
      <x:c r="I18" s="141"/>
      <x:c r="J18" s="141"/>
    </x:row>
    <x:row r="19">
      <x:c r="A19" s="141"/>
      <x:c r="B19" s="141"/>
      <x:c r="C19" s="141"/>
      <x:c r="D19" s="141"/>
      <x:c r="E19" s="141"/>
      <x:c r="F19" s="141"/>
      <x:c r="G19" s="141"/>
      <x:c r="H19" s="141"/>
      <x:c r="I19" s="141"/>
      <x:c r="J19" s="141"/>
    </x:row>
    <x:row r="20" ht="24" customHeight="1">
      <x:c r="A20" s="6" t="str">
        <x:v>Measure</x:v>
      </x:c>
      <x:c r="B20" s="6" t="str">
        <x:v>Pre-Markdown</x:v>
      </x:c>
      <x:c r="C20" s="6" t="str">
        <x:v>Post-Markdown</x:v>
      </x:c>
      <x:c r="D20" s="141"/>
      <x:c r="E20" s="141"/>
      <x:c r="F20" s="141"/>
      <x:c r="G20" s="141"/>
      <x:c r="H20" s="141"/>
      <x:c r="I20" s="141"/>
      <x:c r="J20" s="141"/>
    </x:row>
    <x:row r="21" ht="21" customHeight="1">
      <x:c r="A21" s="12" t="str">
        <x:v>Average Weekly Velocity</x:v>
      </x:c>
      <x:c r="B21" s="12" t="n">
        <x:v>0.4</x:v>
      </x:c>
      <x:c r="C21" s="12" t="n">
        <x:v>0.8</x:v>
      </x:c>
      <x:c r="D21" s="141"/>
      <x:c r="E21" s="141"/>
      <x:c r="F21" s="141"/>
      <x:c r="G21" s="141"/>
      <x:c r="H21" s="141"/>
      <x:c r="I21" s="141"/>
      <x:c r="J21" s="141"/>
    </x:row>
    <x:row r="22" ht="21" customHeight="1">
      <x:c r="A22" s="13" t="str">
        <x:v>Velocity Lift</x:v>
      </x:c>
      <x:c r="B22" s="19" t="n">
        <x:v>0</x:v>
      </x:c>
      <x:c r="C22" s="19" t="n">
        <x:v>0.9387</x:v>
      </x:c>
      <x:c r="D22" s="141"/>
      <x:c r="E22" s="141"/>
      <x:c r="F22" s="141"/>
      <x:c r="G22" s="141"/>
      <x:c r="H22" s="141"/>
      <x:c r="I22" s="141"/>
      <x:c r="J22" s="141"/>
    </x:row>
    <x:row r="23" ht="21" customHeight="1">
      <x:c r="A23" s="14" t="str">
        <x:v>Units Cleared</x:v>
      </x:c>
      <x:c r="B23" s="14" t="n">
        <x:v>0</x:v>
      </x:c>
      <x:c r="C23" s="14" t="n">
        <x:v>3853</x:v>
      </x:c>
      <x:c r="D23" s="141"/>
      <x:c r="E23" s="141"/>
      <x:c r="F23" s="141"/>
      <x:c r="G23" s="141"/>
      <x:c r="H23" s="141"/>
      <x:c r="I23" s="141"/>
      <x:c r="J23" s="141"/>
    </x:row>
    <x:row r="24">
      <x:c r="A24" s="141"/>
      <x:c r="B24" s="141"/>
      <x:c r="C24" s="141"/>
      <x:c r="D24" s="141"/>
      <x:c r="E24" s="141"/>
      <x:c r="F24" s="141"/>
      <x:c r="G24" s="141"/>
      <x:c r="H24" s="141"/>
      <x:c r="I24" s="141"/>
      <x:c r="J24" s="141"/>
    </x:row>
    <x:row r="25">
      <x:c r="A25" s="141"/>
      <x:c r="B25" s="141"/>
      <x:c r="C25" s="141"/>
      <x:c r="D25" s="141"/>
      <x:c r="E25" s="141"/>
      <x:c r="F25" s="141"/>
      <x:c r="G25" s="141"/>
      <x:c r="H25" s="141"/>
      <x:c r="I25" s="141"/>
      <x:c r="J25" s="141"/>
    </x:row>
    <x:row r="26">
      <x:c r="A26" s="141"/>
      <x:c r="B26" s="141"/>
      <x:c r="C26" s="141"/>
      <x:c r="D26" s="141"/>
      <x:c r="E26" s="141"/>
      <x:c r="F26" s="141"/>
      <x:c r="G26" s="141"/>
      <x:c r="H26" s="141"/>
      <x:c r="I26" s="141"/>
      <x:c r="J26" s="141"/>
    </x:row>
    <x:row r="27">
      <x:c r="A27" s="141"/>
      <x:c r="B27" s="141"/>
      <x:c r="C27" s="141"/>
      <x:c r="D27" s="141"/>
      <x:c r="E27" s="141"/>
      <x:c r="F27" s="141"/>
      <x:c r="G27" s="141"/>
      <x:c r="H27" s="141"/>
      <x:c r="I27" s="141"/>
      <x:c r="J27" s="141"/>
    </x:row>
    <x:row r="28">
      <x:c r="A28" s="141"/>
      <x:c r="B28" s="141"/>
      <x:c r="C28" s="141"/>
      <x:c r="D28" s="141"/>
      <x:c r="E28" s="141"/>
      <x:c r="F28" s="141"/>
      <x:c r="G28" s="141"/>
      <x:c r="H28" s="141"/>
      <x:c r="I28" s="141"/>
      <x:c r="J28" s="141"/>
    </x:row>
    <x:row r="29">
      <x:c r="A29" s="141"/>
      <x:c r="B29" s="141"/>
      <x:c r="C29" s="141"/>
      <x:c r="D29" s="141"/>
      <x:c r="E29" s="141"/>
      <x:c r="F29" s="141"/>
      <x:c r="G29" s="141"/>
      <x:c r="H29" s="141"/>
      <x:c r="I29" s="141"/>
      <x:c r="J29" s="141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141"/>
      <x:c r="J30" s="141"/>
    </x:row>
    <x:row r="31">
      <x:c r="A31" s="141"/>
      <x:c r="B31" s="141"/>
      <x:c r="C31" s="141"/>
      <x:c r="D31" s="141"/>
      <x:c r="E31" s="141"/>
      <x:c r="F31" s="141"/>
      <x:c r="G31" s="141"/>
      <x:c r="H31" s="141"/>
      <x:c r="I31" s="141"/>
      <x:c r="J31" s="141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1"/>
    </x:row>
    <x:row r="33">
      <x:c r="A33" s="141"/>
      <x:c r="B33" s="141"/>
      <x:c r="C33" s="141"/>
      <x:c r="D33" s="141"/>
      <x:c r="E33" s="141"/>
      <x:c r="F33" s="141"/>
      <x:c r="G33" s="141"/>
      <x:c r="H33" s="141"/>
      <x:c r="I33" s="141"/>
      <x:c r="J33" s="141"/>
    </x:row>
    <x:row r="34">
      <x:c r="A34" s="141"/>
      <x:c r="B34" s="141"/>
      <x:c r="C34" s="141"/>
      <x:c r="D34" s="141"/>
      <x:c r="E34" s="141"/>
      <x:c r="F34" s="141"/>
      <x:c r="G34" s="141"/>
      <x:c r="H34" s="141"/>
      <x:c r="I34" s="141"/>
      <x:c r="J34" s="141"/>
    </x:row>
  </x:sheetData>
  <x:mergeCells>
    <x:mergeCell ref="A1:J1"/>
    <x:mergeCell ref="A2:J3"/>
    <x:mergeCell ref="A4:J4"/>
  </x:mergeCells>
  <x:conditionalFormatting sqref="J7:J16">
    <x:cfRule type="expression" dxfId="7" priority="1">
      <x:formula>J7="EXIT"</x:formula>
    </x:cfRule>
  </x:conditionalFormatting>
  <x:pageMargins left="0.7" right="0.7" top="0.75" bottom="0.75" header="0.3" footer="0.3"/>
  <x:drawing xmlns:r="http://schemas.openxmlformats.org/officeDocument/2006/relationships" r:id="R07dd51edb46e431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42" t="str">
        <x:v>N O R T H S T A R   ·   HOME &amp; LIVING</x:v>
      </x:c>
      <x:c r="B1" s="141"/>
      <x:c r="C1" s="141"/>
      <x:c r="D1" s="141"/>
      <x:c r="E1" s="141"/>
      <x:c r="F1" s="141"/>
      <x:c r="G1" s="141"/>
      <x:c r="H1" s="141"/>
      <x:c r="I1" s="141"/>
      <x:c r="J1" s="141"/>
    </x:row>
    <x:row r="2">
      <x:c r="A2" s="44" t="str">
        <x:v>Seasonal Merchandise Planning</x:v>
      </x:c>
      <x:c r="B2" s="141"/>
      <x:c r="C2" s="141"/>
      <x:c r="D2" s="141"/>
      <x:c r="E2" s="141"/>
      <x:c r="F2" s="141"/>
      <x:c r="G2" s="141"/>
      <x:c r="H2" s="141"/>
      <x:c r="I2" s="141"/>
      <x:c r="J2" s="141"/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</x:row>
    <x:row r="4" ht="22" customHeight="1">
      <x:c r="A4" s="46" t="str">
        <x:v>Plan vs actual · inventory exit · next-season commitment</x:v>
      </x:c>
      <x:c r="B4" s="141"/>
      <x:c r="C4" s="141"/>
      <x:c r="D4" s="141"/>
      <x:c r="E4" s="141"/>
      <x:c r="F4" s="141"/>
      <x:c r="G4" s="141"/>
      <x:c r="H4" s="141"/>
      <x:c r="I4" s="141"/>
      <x:c r="J4" s="141"/>
    </x:row>
    <x:row r="5">
      <x:c r="A5" s="141"/>
      <x:c r="B5" s="141"/>
      <x:c r="C5" s="141"/>
      <x:c r="D5" s="141"/>
      <x:c r="E5" s="141"/>
      <x:c r="F5" s="141"/>
      <x:c r="G5" s="141"/>
      <x:c r="H5" s="141"/>
      <x:c r="I5" s="141"/>
      <x:c r="J5" s="141"/>
    </x:row>
    <x:row r="6" ht="24" customHeight="1">
      <x:c r="A6" s="6" t="str">
        <x:v>Seasonal Category</x:v>
      </x:c>
      <x:c r="B6" s="6" t="str">
        <x:v>Plan</x:v>
      </x:c>
      <x:c r="C6" s="6" t="str">
        <x:v>Actual</x:v>
      </x:c>
      <x:c r="D6" s="6" t="str">
        <x:v>Variance $</x:v>
      </x:c>
      <x:c r="E6" s="6" t="str">
        <x:v>Variance %</x:v>
      </x:c>
      <x:c r="F6" s="6" t="str">
        <x:v>Next-Season Action</x:v>
      </x:c>
      <x:c r="G6" s="141"/>
      <x:c r="H6" s="141"/>
      <x:c r="I6" s="141"/>
      <x:c r="J6" s="141"/>
    </x:row>
    <x:row r="7" ht="21" customHeight="1">
      <x:c r="A7" s="12" t="str">
        <x:f>'10_Data'!S15</x:f>
        <x:v>Christmas Decor</x:v>
      </x:c>
      <x:c r="B7" s="88" t="n">
        <x:f>'10_Data'!U15</x:f>
        <x:v>54517.47</x:v>
      </x:c>
      <x:c r="C7" s="88" t="n">
        <x:f>'10_Data'!T15</x:f>
        <x:v>64494.17</x:v>
      </x:c>
      <x:c r="D7" s="88" t="n">
        <x:f>C7-B7</x:f>
        <x:v>9976.699999999997</x:v>
      </x:c>
      <x:c r="E7" s="110" t="n">
        <x:f>D7/B7</x:f>
        <x:v>0.18300005484480475</x:v>
      </x:c>
      <x:c r="F7" s="12" t="str">
        <x:f>IF(E7&gt;10%,"INCREASE BUY",IF(E7&lt;-10%,"REDUCE BUY","MAINTAIN"))</x:f>
        <x:v>INCREASE BUY</x:v>
      </x:c>
      <x:c r="G7" s="141"/>
      <x:c r="H7" s="141"/>
      <x:c r="I7" s="141"/>
      <x:c r="J7" s="141"/>
    </x:row>
    <x:row r="8" ht="21" customHeight="1">
      <x:c r="A8" s="13" t="str">
        <x:f>'10_Data'!S16</x:f>
        <x:v>Giftware</x:v>
      </x:c>
      <x:c r="B8" s="89" t="n">
        <x:f>'10_Data'!U16</x:f>
        <x:v>149551.51</x:v>
      </x:c>
      <x:c r="C8" s="89" t="n">
        <x:f>'10_Data'!T16</x:f>
        <x:v>163310.25</x:v>
      </x:c>
      <x:c r="D8" s="89" t="n">
        <x:f>C8-B8</x:f>
        <x:v>13758.73999999999</x:v>
      </x:c>
      <x:c r="E8" s="111" t="n">
        <x:f>D8/B8</x:f>
        <x:v>0.09200000722159202</x:v>
      </x:c>
      <x:c r="F8" s="13" t="str">
        <x:f>IF(E8&gt;10%,"INCREASE BUY",IF(E8&lt;-10%,"REDUCE BUY","MAINTAIN"))</x:f>
        <x:v>MAINTAIN</x:v>
      </x:c>
      <x:c r="G8" s="141"/>
      <x:c r="H8" s="141"/>
      <x:c r="I8" s="141"/>
      <x:c r="J8" s="141"/>
    </x:row>
    <x:row r="9" ht="21" customHeight="1">
      <x:c r="A9" s="13" t="str">
        <x:f>'10_Data'!S17</x:f>
        <x:v>Summer Living</x:v>
      </x:c>
      <x:c r="B9" s="89" t="n">
        <x:f>'10_Data'!U17</x:f>
        <x:v>129158.91</x:v>
      </x:c>
      <x:c r="C9" s="89" t="n">
        <x:f>'10_Data'!T17</x:f>
        <x:v>138329.19</x:v>
      </x:c>
      <x:c r="D9" s="89" t="n">
        <x:f>C9-B9</x:f>
        <x:v>9170.279999999999</x:v>
      </x:c>
      <x:c r="E9" s="111" t="n">
        <x:f>D9/B9</x:f>
        <x:v>0.07099997979233487</x:v>
      </x:c>
      <x:c r="F9" s="13" t="str">
        <x:f>IF(E9&gt;10%,"INCREASE BUY",IF(E9&lt;-10%,"REDUCE BUY","MAINTAIN"))</x:f>
        <x:v>MAINTAIN</x:v>
      </x:c>
      <x:c r="G9" s="141"/>
      <x:c r="H9" s="141"/>
      <x:c r="I9" s="141"/>
      <x:c r="J9" s="141"/>
    </x:row>
    <x:row r="10" ht="21" customHeight="1">
      <x:c r="A10" s="13" t="str">
        <x:f>'10_Data'!S18</x:f>
        <x:v>Halloween</x:v>
      </x:c>
      <x:c r="B10" s="89" t="n">
        <x:f>'10_Data'!U18</x:f>
        <x:v>12232.83</x:v>
      </x:c>
      <x:c r="C10" s="89" t="n">
        <x:f>'10_Data'!T18</x:f>
        <x:v>11523.33</x:v>
      </x:c>
      <x:c r="D10" s="89" t="n">
        <x:f>C10-B10</x:f>
        <x:v>-709.5</x:v>
      </x:c>
      <x:c r="E10" s="111" t="n">
        <x:f>D10/B10</x:f>
        <x:v>-0.05799966156645682</x:v>
      </x:c>
      <x:c r="F10" s="13" t="str">
        <x:f>IF(E10&gt;10%,"INCREASE BUY",IF(E10&lt;-10%,"REDUCE BUY","MAINTAIN"))</x:f>
        <x:v>MAINTAIN</x:v>
      </x:c>
      <x:c r="G10" s="141"/>
      <x:c r="H10" s="141"/>
      <x:c r="I10" s="141"/>
      <x:c r="J10" s="141"/>
    </x:row>
    <x:row r="11" ht="21" customHeight="1">
      <x:c r="A11" s="14" t="str">
        <x:f>'10_Data'!S19</x:f>
        <x:v>Winter Comfort</x:v>
      </x:c>
      <x:c r="B11" s="90" t="n">
        <x:f>'10_Data'!U19</x:f>
        <x:v>78452.25</x:v>
      </x:c>
      <x:c r="C11" s="90" t="n">
        <x:f>'10_Data'!T19</x:f>
        <x:v>67704.29</x:v>
      </x:c>
      <x:c r="D11" s="90" t="n">
        <x:f>C11-B11</x:f>
        <x:v>-10747.960000000006</x:v>
      </x:c>
      <x:c r="E11" s="112" t="n">
        <x:f>D11/B11</x:f>
        <x:v>-0.13700002230656236</x:v>
      </x:c>
      <x:c r="F11" s="14" t="str">
        <x:f>IF(E11&gt;10%,"INCREASE BUY",IF(E11&lt;-10%,"REDUCE BUY","MAINTAIN"))</x:f>
        <x:v>REDUCE BUY</x:v>
      </x:c>
      <x:c r="G11" s="141"/>
      <x:c r="H11" s="141"/>
      <x:c r="I11" s="141"/>
      <x:c r="J11" s="141"/>
    </x:row>
    <x:row r="12">
      <x:c r="A12" s="141"/>
      <x:c r="B12" s="141"/>
      <x:c r="C12" s="141"/>
      <x:c r="D12" s="141"/>
      <x:c r="E12" s="141"/>
      <x:c r="F12" s="141"/>
      <x:c r="G12" s="141"/>
      <x:c r="H12" s="141"/>
      <x:c r="I12" s="141"/>
      <x:c r="J12" s="141"/>
    </x:row>
    <x:row r="13">
      <x:c r="A13" s="141"/>
      <x:c r="B13" s="141"/>
      <x:c r="C13" s="141"/>
      <x:c r="D13" s="141"/>
      <x:c r="E13" s="141"/>
      <x:c r="F13" s="141"/>
      <x:c r="G13" s="141"/>
      <x:c r="H13" s="141"/>
      <x:c r="I13" s="141"/>
      <x:c r="J13" s="141"/>
    </x:row>
    <x:row r="14">
      <x:c r="A14" s="141"/>
      <x:c r="B14" s="141"/>
      <x:c r="C14" s="141"/>
      <x:c r="D14" s="141"/>
      <x:c r="E14" s="141"/>
      <x:c r="F14" s="141"/>
      <x:c r="G14" s="141"/>
      <x:c r="H14" s="141"/>
      <x:c r="I14" s="141"/>
      <x:c r="J14" s="141"/>
    </x:row>
    <x:row r="15">
      <x:c r="A15" s="141"/>
      <x:c r="B15" s="141"/>
      <x:c r="C15" s="141"/>
      <x:c r="D15" s="141"/>
      <x:c r="E15" s="141"/>
      <x:c r="F15" s="141"/>
      <x:c r="G15" s="141"/>
      <x:c r="H15" s="86" t="str">
        <x:v>NEXT-SEASON DECISION
Increase Christmas décor commitment by approximately 12%, maintain giftware depth, and reduce underperforming winter comfort exposure. Preserve earlier exit dates for seasonal kitchen and soft goods.</x:v>
      </x:c>
      <x:c r="I15" s="87"/>
      <x:c r="J15" s="87"/>
    </x:row>
    <x:row r="16">
      <x:c r="A16" s="141"/>
      <x:c r="B16" s="141"/>
      <x:c r="C16" s="141"/>
      <x:c r="D16" s="141"/>
      <x:c r="E16" s="141"/>
      <x:c r="F16" s="141"/>
      <x:c r="G16" s="141"/>
      <x:c r="H16" s="86"/>
      <x:c r="I16" s="87"/>
      <x:c r="J16" s="87"/>
    </x:row>
    <x:row r="17">
      <x:c r="A17" s="141"/>
      <x:c r="B17" s="141"/>
      <x:c r="C17" s="141"/>
      <x:c r="D17" s="141"/>
      <x:c r="E17" s="141"/>
      <x:c r="F17" s="141"/>
      <x:c r="G17" s="141"/>
      <x:c r="H17" s="86"/>
      <x:c r="I17" s="87"/>
      <x:c r="J17" s="87"/>
    </x:row>
    <x:row r="18">
      <x:c r="A18" s="141"/>
      <x:c r="B18" s="141"/>
      <x:c r="C18" s="141"/>
      <x:c r="D18" s="141"/>
      <x:c r="E18" s="141"/>
      <x:c r="F18" s="141"/>
      <x:c r="G18" s="141"/>
      <x:c r="H18" s="86"/>
      <x:c r="I18" s="87"/>
      <x:c r="J18" s="87"/>
    </x:row>
    <x:row r="19">
      <x:c r="A19" s="141"/>
      <x:c r="B19" s="141"/>
      <x:c r="C19" s="141"/>
      <x:c r="D19" s="141"/>
      <x:c r="E19" s="141"/>
      <x:c r="F19" s="141"/>
      <x:c r="G19" s="141"/>
      <x:c r="H19" s="86"/>
      <x:c r="I19" s="87"/>
      <x:c r="J19" s="87"/>
    </x:row>
    <x:row r="20">
      <x:c r="A20" s="141"/>
      <x:c r="B20" s="141"/>
      <x:c r="C20" s="141"/>
      <x:c r="D20" s="141"/>
      <x:c r="E20" s="141"/>
      <x:c r="F20" s="141"/>
      <x:c r="G20" s="141"/>
      <x:c r="H20" s="86"/>
      <x:c r="I20" s="87"/>
      <x:c r="J20" s="87"/>
    </x:row>
    <x:row r="21">
      <x:c r="A21" s="141"/>
      <x:c r="B21" s="141"/>
      <x:c r="C21" s="141"/>
      <x:c r="D21" s="141"/>
      <x:c r="E21" s="141"/>
      <x:c r="F21" s="141"/>
      <x:c r="G21" s="141"/>
      <x:c r="H21" s="86"/>
      <x:c r="I21" s="87"/>
      <x:c r="J21" s="87"/>
    </x:row>
    <x:row r="22">
      <x:c r="A22" s="141"/>
      <x:c r="B22" s="141"/>
      <x:c r="C22" s="141"/>
      <x:c r="D22" s="141"/>
      <x:c r="E22" s="141"/>
      <x:c r="F22" s="141"/>
      <x:c r="G22" s="141"/>
      <x:c r="H22" s="86"/>
      <x:c r="I22" s="87"/>
      <x:c r="J22" s="87"/>
    </x:row>
    <x:row r="23">
      <x:c r="A23" s="141"/>
      <x:c r="B23" s="141"/>
      <x:c r="C23" s="141"/>
      <x:c r="D23" s="141"/>
      <x:c r="E23" s="141"/>
      <x:c r="F23" s="141"/>
      <x:c r="G23" s="141"/>
      <x:c r="H23" s="86"/>
      <x:c r="I23" s="87"/>
      <x:c r="J23" s="87"/>
    </x:row>
    <x:row r="24">
      <x:c r="A24" s="141"/>
      <x:c r="B24" s="141"/>
      <x:c r="C24" s="141"/>
      <x:c r="D24" s="141"/>
      <x:c r="E24" s="141"/>
      <x:c r="F24" s="141"/>
      <x:c r="G24" s="141"/>
      <x:c r="H24" s="86"/>
      <x:c r="I24" s="87"/>
      <x:c r="J24" s="87"/>
    </x:row>
    <x:row r="25">
      <x:c r="A25" s="141"/>
      <x:c r="B25" s="141"/>
      <x:c r="C25" s="141"/>
      <x:c r="D25" s="141"/>
      <x:c r="E25" s="141"/>
      <x:c r="F25" s="141"/>
      <x:c r="G25" s="141"/>
      <x:c r="H25" s="86"/>
      <x:c r="I25" s="87"/>
      <x:c r="J25" s="87"/>
    </x:row>
    <x:row r="26">
      <x:c r="A26" s="141"/>
      <x:c r="B26" s="141"/>
      <x:c r="C26" s="141"/>
      <x:c r="D26" s="141"/>
      <x:c r="E26" s="141"/>
      <x:c r="F26" s="141"/>
      <x:c r="G26" s="141"/>
      <x:c r="H26" s="86"/>
      <x:c r="I26" s="87"/>
      <x:c r="J26" s="87"/>
    </x:row>
    <x:row r="27">
      <x:c r="A27" s="141"/>
      <x:c r="B27" s="141"/>
      <x:c r="C27" s="141"/>
      <x:c r="D27" s="141"/>
      <x:c r="E27" s="141"/>
      <x:c r="F27" s="141"/>
      <x:c r="G27" s="141"/>
      <x:c r="H27" s="86"/>
      <x:c r="I27" s="87"/>
      <x:c r="J27" s="87"/>
    </x:row>
    <x:row r="28">
      <x:c r="A28" s="141"/>
      <x:c r="B28" s="141"/>
      <x:c r="C28" s="141"/>
      <x:c r="D28" s="141"/>
      <x:c r="E28" s="141"/>
      <x:c r="F28" s="141"/>
      <x:c r="G28" s="141"/>
      <x:c r="H28" s="141"/>
      <x:c r="I28" s="141"/>
      <x:c r="J28" s="141"/>
    </x:row>
    <x:row r="29">
      <x:c r="A29" s="141"/>
      <x:c r="B29" s="141"/>
      <x:c r="C29" s="141"/>
      <x:c r="D29" s="141"/>
      <x:c r="E29" s="141"/>
      <x:c r="F29" s="141"/>
      <x:c r="G29" s="141"/>
      <x:c r="H29" s="141"/>
      <x:c r="I29" s="141"/>
      <x:c r="J29" s="141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141"/>
      <x:c r="J30" s="141"/>
    </x:row>
    <x:row r="31">
      <x:c r="A31" s="141"/>
      <x:c r="B31" s="141"/>
      <x:c r="C31" s="141"/>
      <x:c r="D31" s="141"/>
      <x:c r="E31" s="141"/>
      <x:c r="F31" s="141"/>
      <x:c r="G31" s="141"/>
      <x:c r="H31" s="141"/>
      <x:c r="I31" s="141"/>
      <x:c r="J31" s="141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1"/>
    </x:row>
  </x:sheetData>
  <x:mergeCells>
    <x:mergeCell ref="A1:J1"/>
    <x:mergeCell ref="A2:J3"/>
    <x:mergeCell ref="A4:J4"/>
    <x:mergeCell ref="H15:J27"/>
  </x:mergeCells>
  <x:conditionalFormatting sqref="F7:F11">
    <x:cfRule type="expression" dxfId="8" priority="1">
      <x:formula>F7="INCREASE BUY"</x:formula>
    </x:cfRule>
    <x:cfRule type="expression" dxfId="9" priority="2">
      <x:formula>F7="REDUCE BUY"</x:formula>
    </x:cfRule>
  </x:conditionalFormatting>
  <x:pageMargins left="0.7" right="0.7" top="0.75" bottom="0.75" header="0.3" footer="0.3"/>
  <x:drawing xmlns:r="http://schemas.openxmlformats.org/officeDocument/2006/relationships" r:id="Re17b00c150544359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42" t="str">
        <x:v>N O R T H S T A R   ·   HOME &amp; LIVING</x:v>
      </x:c>
      <x:c r="B1" s="141"/>
      <x:c r="C1" s="141"/>
      <x:c r="D1" s="141"/>
      <x:c r="E1" s="141"/>
      <x:c r="F1" s="141"/>
      <x:c r="G1" s="141"/>
      <x:c r="H1" s="141"/>
      <x:c r="I1" s="141"/>
      <x:c r="J1" s="141"/>
    </x:row>
    <x:row r="2">
      <x:c r="A2" s="44" t="str">
        <x:v>Vendor Portfolio</x:v>
      </x:c>
      <x:c r="B2" s="141"/>
      <x:c r="C2" s="141"/>
      <x:c r="D2" s="141"/>
      <x:c r="E2" s="141"/>
      <x:c r="F2" s="141"/>
      <x:c r="G2" s="141"/>
      <x:c r="H2" s="141"/>
      <x:c r="I2" s="141"/>
      <x:c r="J2" s="141"/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</x:row>
    <x:row r="4" ht="22" customHeight="1">
      <x:c r="A4" s="46" t="str">
        <x:v>Commercial productivity · service reliability · supplier action</x:v>
      </x:c>
      <x:c r="B4" s="141"/>
      <x:c r="C4" s="141"/>
      <x:c r="D4" s="141"/>
      <x:c r="E4" s="141"/>
      <x:c r="F4" s="141"/>
      <x:c r="G4" s="141"/>
      <x:c r="H4" s="141"/>
      <x:c r="I4" s="141"/>
      <x:c r="J4" s="141"/>
    </x:row>
    <x:row r="5">
      <x:c r="A5" s="141"/>
      <x:c r="B5" s="141"/>
      <x:c r="C5" s="141"/>
      <x:c r="D5" s="141"/>
      <x:c r="E5" s="141"/>
      <x:c r="F5" s="141"/>
      <x:c r="G5" s="141"/>
      <x:c r="H5" s="141"/>
      <x:c r="I5" s="141"/>
      <x:c r="J5" s="141"/>
    </x:row>
    <x:row r="6" ht="24" customHeight="1">
      <x:c r="A6" s="6" t="str">
        <x:v>Rank</x:v>
      </x:c>
      <x:c r="B6" s="6" t="str">
        <x:v>Vendor</x:v>
      </x:c>
      <x:c r="C6" s="6" t="str">
        <x:v>Sales</x:v>
      </x:c>
      <x:c r="D6" s="6" t="str">
        <x:v>Margin</x:v>
      </x:c>
      <x:c r="E6" s="6" t="str">
        <x:v>Sell-Through</x:v>
      </x:c>
      <x:c r="F6" s="6" t="str">
        <x:v>On-Time</x:v>
      </x:c>
      <x:c r="G6" s="6" t="str">
        <x:v>Lead Time</x:v>
      </x:c>
      <x:c r="H6" s="6" t="str">
        <x:v>Defect Rate</x:v>
      </x:c>
      <x:c r="I6" s="6" t="str">
        <x:v>Score</x:v>
      </x:c>
      <x:c r="J6" s="6" t="str">
        <x:v>Action</x:v>
      </x:c>
    </x:row>
    <x:row r="7" ht="21" customHeight="1">
      <x:c r="A7" s="12" t="n">
        <x:v>1</x:v>
      </x:c>
      <x:c r="B7" s="12" t="str">
        <x:f>'10_Data'!N35</x:f>
        <x:v>Maison Source Co.</x:v>
      </x:c>
      <x:c r="C7" s="15" t="n">
        <x:f>'10_Data'!O35</x:f>
        <x:v>504687.66</x:v>
      </x:c>
      <x:c r="D7" s="18" t="n">
        <x:f>'10_Data'!P35</x:f>
        <x:v>0.5307</x:v>
      </x:c>
      <x:c r="E7" s="18" t="n">
        <x:f>'10_Data'!Q35</x:f>
        <x:v>0.8132</x:v>
      </x:c>
      <x:c r="F7" s="18" t="n">
        <x:f>'10_Data'!R35</x:f>
        <x:v>0.98</x:v>
      </x:c>
      <x:c r="G7" s="12" t="n">
        <x:f>'10_Data'!S35</x:f>
        <x:v>31</x:v>
      </x:c>
      <x:c r="H7" s="18" t="n">
        <x:f>'10_Data'!T35</x:f>
        <x:v>0.01</x:v>
      </x:c>
      <x:c r="I7" s="12" t="n">
        <x:f>'10_Data'!U35</x:f>
        <x:v>97</x:v>
      </x:c>
      <x:c r="J7" s="12" t="str">
        <x:f>IF(I7&gt;=88,"EXPAND",IF(I7&lt;70,"REVIEW","MAINTAIN"))</x:f>
        <x:v>EXPAND</x:v>
      </x:c>
    </x:row>
    <x:row r="8" ht="21" customHeight="1">
      <x:c r="A8" s="13" t="n">
        <x:v>2</x:v>
      </x:c>
      <x:c r="B8" s="13" t="str">
        <x:f>'10_Data'!N36</x:f>
        <x:v>Calder &amp; Finch</x:v>
      </x:c>
      <x:c r="C8" s="16" t="n">
        <x:f>'10_Data'!O36</x:f>
        <x:v>435353.93</x:v>
      </x:c>
      <x:c r="D8" s="19" t="n">
        <x:f>'10_Data'!P36</x:f>
        <x:v>0.527</x:v>
      </x:c>
      <x:c r="E8" s="19" t="n">
        <x:f>'10_Data'!Q36</x:f>
        <x:v>0.7954</x:v>
      </x:c>
      <x:c r="F8" s="19" t="n">
        <x:f>'10_Data'!R36</x:f>
        <x:v>0.98</x:v>
      </x:c>
      <x:c r="G8" s="13" t="n">
        <x:f>'10_Data'!S36</x:f>
        <x:v>43</x:v>
      </x:c>
      <x:c r="H8" s="19" t="n">
        <x:f>'10_Data'!T36</x:f>
        <x:v>0.011</x:v>
      </x:c>
      <x:c r="I8" s="13" t="n">
        <x:f>'10_Data'!U36</x:f>
        <x:v>96</x:v>
      </x:c>
      <x:c r="J8" s="13" t="str">
        <x:f>IF(I8&gt;=88,"EXPAND",IF(I8&lt;70,"REVIEW","MAINTAIN"))</x:f>
        <x:v>EXPAND</x:v>
      </x:c>
    </x:row>
    <x:row r="9" ht="21" customHeight="1">
      <x:c r="A9" s="13" t="n">
        <x:v>3</x:v>
      </x:c>
      <x:c r="B9" s="13" t="str">
        <x:f>'10_Data'!N37</x:f>
        <x:v>Forma Studio</x:v>
      </x:c>
      <x:c r="C9" s="16" t="n">
        <x:f>'10_Data'!O37</x:f>
        <x:v>577607.94</x:v>
      </x:c>
      <x:c r="D9" s="19" t="n">
        <x:f>'10_Data'!P37</x:f>
        <x:v>0.52</x:v>
      </x:c>
      <x:c r="E9" s="19" t="n">
        <x:f>'10_Data'!Q37</x:f>
        <x:v>0.8065</x:v>
      </x:c>
      <x:c r="F9" s="19" t="n">
        <x:f>'10_Data'!R37</x:f>
        <x:v>0.98</x:v>
      </x:c>
      <x:c r="G9" s="13" t="n">
        <x:f>'10_Data'!S37</x:f>
        <x:v>52</x:v>
      </x:c>
      <x:c r="H9" s="19" t="n">
        <x:f>'10_Data'!T37</x:f>
        <x:v>0.017</x:v>
      </x:c>
      <x:c r="I9" s="13" t="n">
        <x:f>'10_Data'!U37</x:f>
        <x:v>95</x:v>
      </x:c>
      <x:c r="J9" s="13" t="str">
        <x:f>IF(I9&gt;=88,"EXPAND",IF(I9&lt;70,"REVIEW","MAINTAIN"))</x:f>
        <x:v>EXPAND</x:v>
      </x:c>
    </x:row>
    <x:row r="10" ht="21" customHeight="1">
      <x:c r="A10" s="13" t="n">
        <x:v>4</x:v>
      </x:c>
      <x:c r="B10" s="13" t="str">
        <x:f>'10_Data'!N38</x:f>
        <x:v>Hearthwell</x:v>
      </x:c>
      <x:c r="C10" s="16" t="n">
        <x:f>'10_Data'!O38</x:f>
        <x:v>549424.2</x:v>
      </x:c>
      <x:c r="D10" s="19" t="n">
        <x:f>'10_Data'!P38</x:f>
        <x:v>0.5228</x:v>
      </x:c>
      <x:c r="E10" s="19" t="n">
        <x:f>'10_Data'!Q38</x:f>
        <x:v>0.8046</x:v>
      </x:c>
      <x:c r="F10" s="19" t="n">
        <x:f>'10_Data'!R38</x:f>
        <x:v>0.893</x:v>
      </x:c>
      <x:c r="G10" s="13" t="n">
        <x:f>'10_Data'!S38</x:f>
        <x:v>48</x:v>
      </x:c>
      <x:c r="H10" s="19" t="n">
        <x:f>'10_Data'!T38</x:f>
        <x:v>0.006</x:v>
      </x:c>
      <x:c r="I10" s="13" t="n">
        <x:f>'10_Data'!U38</x:f>
        <x:v>94</x:v>
      </x:c>
      <x:c r="J10" s="13" t="str">
        <x:f>IF(I10&gt;=88,"EXPAND",IF(I10&lt;70,"REVIEW","MAINTAIN"))</x:f>
        <x:v>EXPAND</x:v>
      </x:c>
    </x:row>
    <x:row r="11" ht="21" customHeight="1">
      <x:c r="A11" s="13" t="n">
        <x:v>5</x:v>
      </x:c>
      <x:c r="B11" s="13" t="str">
        <x:f>'10_Data'!N39</x:f>
        <x:v>Arc &amp; Ash</x:v>
      </x:c>
      <x:c r="C11" s="16" t="n">
        <x:f>'10_Data'!O39</x:f>
        <x:v>439062.95</x:v>
      </x:c>
      <x:c r="D11" s="19" t="n">
        <x:f>'10_Data'!P39</x:f>
        <x:v>0.5273</x:v>
      </x:c>
      <x:c r="E11" s="19" t="n">
        <x:f>'10_Data'!Q39</x:f>
        <x:v>0.808</x:v>
      </x:c>
      <x:c r="F11" s="19" t="n">
        <x:f>'10_Data'!R39</x:f>
        <x:v>0.871</x:v>
      </x:c>
      <x:c r="G11" s="13" t="n">
        <x:f>'10_Data'!S39</x:f>
        <x:v>35</x:v>
      </x:c>
      <x:c r="H11" s="19" t="n">
        <x:f>'10_Data'!T39</x:f>
        <x:v>0.008</x:v>
      </x:c>
      <x:c r="I11" s="13" t="n">
        <x:f>'10_Data'!U39</x:f>
        <x:v>93</x:v>
      </x:c>
      <x:c r="J11" s="13" t="str">
        <x:f>IF(I11&gt;=88,"EXPAND",IF(I11&lt;70,"REVIEW","MAINTAIN"))</x:f>
        <x:v>EXPAND</x:v>
      </x:c>
    </x:row>
    <x:row r="12" ht="21" customHeight="1">
      <x:c r="A12" s="13" t="n">
        <x:v>6</x:v>
      </x:c>
      <x:c r="B12" s="13" t="str">
        <x:f>'10_Data'!N40</x:f>
        <x:v>Vale &amp; Loom</x:v>
      </x:c>
      <x:c r="C12" s="16" t="n">
        <x:f>'10_Data'!O40</x:f>
        <x:v>543559.02</x:v>
      </x:c>
      <x:c r="D12" s="19" t="n">
        <x:f>'10_Data'!P40</x:f>
        <x:v>0.5169</x:v>
      </x:c>
      <x:c r="E12" s="19" t="n">
        <x:f>'10_Data'!Q40</x:f>
        <x:v>0.8036</x:v>
      </x:c>
      <x:c r="F12" s="19" t="n">
        <x:f>'10_Data'!R40</x:f>
        <x:v>0.98</x:v>
      </x:c>
      <x:c r="G12" s="13" t="n">
        <x:f>'10_Data'!S40</x:f>
        <x:v>23</x:v>
      </x:c>
      <x:c r="H12" s="19" t="n">
        <x:f>'10_Data'!T40</x:f>
        <x:v>0.035</x:v>
      </x:c>
      <x:c r="I12" s="13" t="n">
        <x:f>'10_Data'!U40</x:f>
        <x:v>93</x:v>
      </x:c>
      <x:c r="J12" s="13" t="str">
        <x:f>IF(I12&gt;=88,"EXPAND",IF(I12&lt;70,"REVIEW","MAINTAIN"))</x:f>
        <x:v>EXPAND</x:v>
      </x:c>
    </x:row>
    <x:row r="13" ht="21" customHeight="1">
      <x:c r="A13" s="13" t="n">
        <x:v>7</x:v>
      </x:c>
      <x:c r="B13" s="13" t="str">
        <x:f>'10_Data'!N41</x:f>
        <x:v>Juniper Supply</x:v>
      </x:c>
      <x:c r="C13" s="16" t="n">
        <x:f>'10_Data'!O41</x:f>
        <x:v>438153.2</x:v>
      </x:c>
      <x:c r="D13" s="19" t="n">
        <x:f>'10_Data'!P41</x:f>
        <x:v>0.5138</x:v>
      </x:c>
      <x:c r="E13" s="19" t="n">
        <x:f>'10_Data'!Q41</x:f>
        <x:v>0.7984</x:v>
      </x:c>
      <x:c r="F13" s="19" t="n">
        <x:f>'10_Data'!R41</x:f>
        <x:v>0.899</x:v>
      </x:c>
      <x:c r="G13" s="13" t="n">
        <x:f>'10_Data'!S41</x:f>
        <x:v>26</x:v>
      </x:c>
      <x:c r="H13" s="19" t="n">
        <x:f>'10_Data'!T41</x:f>
        <x:v>0.02</x:v>
      </x:c>
      <x:c r="I13" s="13" t="n">
        <x:f>'10_Data'!U41</x:f>
        <x:v>92</x:v>
      </x:c>
      <x:c r="J13" s="13" t="str">
        <x:f>IF(I13&gt;=88,"EXPAND",IF(I13&lt;70,"REVIEW","MAINTAIN"))</x:f>
        <x:v>EXPAND</x:v>
      </x:c>
    </x:row>
    <x:row r="14" ht="21" customHeight="1">
      <x:c r="A14" s="13" t="n">
        <x:v>8</x:v>
      </x:c>
      <x:c r="B14" s="13" t="str">
        <x:f>'10_Data'!N42</x:f>
        <x:v>Vela Home</x:v>
      </x:c>
      <x:c r="C14" s="16" t="n">
        <x:f>'10_Data'!O42</x:f>
        <x:v>430524.2</x:v>
      </x:c>
      <x:c r="D14" s="19" t="n">
        <x:f>'10_Data'!P42</x:f>
        <x:v>0.5163</x:v>
      </x:c>
      <x:c r="E14" s="19" t="n">
        <x:f>'10_Data'!Q42</x:f>
        <x:v>0.8049</x:v>
      </x:c>
      <x:c r="F14" s="19" t="n">
        <x:f>'10_Data'!R42</x:f>
        <x:v>0.888</x:v>
      </x:c>
      <x:c r="G14" s="13" t="n">
        <x:f>'10_Data'!S42</x:f>
        <x:v>15</x:v>
      </x:c>
      <x:c r="H14" s="19" t="n">
        <x:f>'10_Data'!T42</x:f>
        <x:v>0.018</x:v>
      </x:c>
      <x:c r="I14" s="13" t="n">
        <x:f>'10_Data'!U42</x:f>
        <x:v>92</x:v>
      </x:c>
      <x:c r="J14" s="13" t="str">
        <x:f>IF(I14&gt;=88,"EXPAND",IF(I14&lt;70,"REVIEW","MAINTAIN"))</x:f>
        <x:v>EXPAND</x:v>
      </x:c>
    </x:row>
    <x:row r="15" ht="21" customHeight="1">
      <x:c r="A15" s="13" t="n">
        <x:v>9</x:v>
      </x:c>
      <x:c r="B15" s="13" t="str">
        <x:f>'10_Data'!N43</x:f>
        <x:v>Cove Trading</x:v>
      </x:c>
      <x:c r="C15" s="16" t="n">
        <x:f>'10_Data'!O43</x:f>
        <x:v>365679.58</x:v>
      </x:c>
      <x:c r="D15" s="19" t="n">
        <x:f>'10_Data'!P43</x:f>
        <x:v>0.5186</x:v>
      </x:c>
      <x:c r="E15" s="19" t="n">
        <x:f>'10_Data'!Q43</x:f>
        <x:v>0.7967</x:v>
      </x:c>
      <x:c r="F15" s="19" t="n">
        <x:f>'10_Data'!R43</x:f>
        <x:v>0.91</x:v>
      </x:c>
      <x:c r="G15" s="13" t="n">
        <x:f>'10_Data'!S43</x:f>
        <x:v>41</x:v>
      </x:c>
      <x:c r="H15" s="19" t="n">
        <x:f>'10_Data'!T43</x:f>
        <x:v>0.03</x:v>
      </x:c>
      <x:c r="I15" s="13" t="n">
        <x:f>'10_Data'!U43</x:f>
        <x:v>91</x:v>
      </x:c>
      <x:c r="J15" s="13" t="str">
        <x:f>IF(I15&gt;=88,"EXPAND",IF(I15&lt;70,"REVIEW","MAINTAIN"))</x:f>
        <x:v>EXPAND</x:v>
      </x:c>
    </x:row>
    <x:row r="16" ht="21" customHeight="1">
      <x:c r="A16" s="13" t="n">
        <x:v>10</x:v>
      </x:c>
      <x:c r="B16" s="13" t="str">
        <x:f>'10_Data'!N44</x:f>
        <x:v>Cedarline Goods</x:v>
      </x:c>
      <x:c r="C16" s="16" t="n">
        <x:f>'10_Data'!O44</x:f>
        <x:v>563381.59</x:v>
      </x:c>
      <x:c r="D16" s="19" t="n">
        <x:f>'10_Data'!P44</x:f>
        <x:v>0.5047</x:v>
      </x:c>
      <x:c r="E16" s="19" t="n">
        <x:f>'10_Data'!Q44</x:f>
        <x:v>0.7984</x:v>
      </x:c>
      <x:c r="F16" s="19" t="n">
        <x:f>'10_Data'!R44</x:f>
        <x:v>0.874</x:v>
      </x:c>
      <x:c r="G16" s="13" t="n">
        <x:f>'10_Data'!S44</x:f>
        <x:v>41</x:v>
      </x:c>
      <x:c r="H16" s="19" t="n">
        <x:f>'10_Data'!T44</x:f>
        <x:v>0.015</x:v>
      </x:c>
      <x:c r="I16" s="13" t="n">
        <x:f>'10_Data'!U44</x:f>
        <x:v>91</x:v>
      </x:c>
      <x:c r="J16" s="13" t="str">
        <x:f>IF(I16&gt;=88,"EXPAND",IF(I16&lt;70,"REVIEW","MAINTAIN"))</x:f>
        <x:v>EXPAND</x:v>
      </x:c>
    </x:row>
    <x:row r="17" ht="21" customHeight="1">
      <x:c r="A17" s="13" t="n">
        <x:v>11</x:v>
      </x:c>
      <x:c r="B17" s="13" t="str">
        <x:f>'10_Data'!N45</x:f>
        <x:v>Aster Living</x:v>
      </x:c>
      <x:c r="C17" s="16" t="n">
        <x:f>'10_Data'!O45</x:f>
        <x:v>439428.66</x:v>
      </x:c>
      <x:c r="D17" s="19" t="n">
        <x:f>'10_Data'!P45</x:f>
        <x:v>0.5174</x:v>
      </x:c>
      <x:c r="E17" s="19" t="n">
        <x:f>'10_Data'!Q45</x:f>
        <x:v>0.8175</x:v>
      </x:c>
      <x:c r="F17" s="19" t="n">
        <x:f>'10_Data'!R45</x:f>
        <x:v>0.955</x:v>
      </x:c>
      <x:c r="G17" s="13" t="n">
        <x:f>'10_Data'!S45</x:f>
        <x:v>36</x:v>
      </x:c>
      <x:c r="H17" s="19" t="n">
        <x:f>'10_Data'!T45</x:f>
        <x:v>0.041</x:v>
      </x:c>
      <x:c r="I17" s="13" t="n">
        <x:f>'10_Data'!U45</x:f>
        <x:v>91</x:v>
      </x:c>
      <x:c r="J17" s="13" t="str">
        <x:f>IF(I17&gt;=88,"EXPAND",IF(I17&lt;70,"REVIEW","MAINTAIN"))</x:f>
        <x:v>EXPAND</x:v>
      </x:c>
    </x:row>
    <x:row r="18" ht="21" customHeight="1">
      <x:c r="A18" s="14" t="n">
        <x:v>12</x:v>
      </x:c>
      <x:c r="B18" s="14" t="str">
        <x:f>'10_Data'!N46</x:f>
        <x:v>Atelier North</x:v>
      </x:c>
      <x:c r="C18" s="17" t="n">
        <x:f>'10_Data'!O46</x:f>
        <x:v>408548.06</x:v>
      </x:c>
      <x:c r="D18" s="20" t="n">
        <x:f>'10_Data'!P46</x:f>
        <x:v>0.5237</x:v>
      </x:c>
      <x:c r="E18" s="20" t="n">
        <x:f>'10_Data'!Q46</x:f>
        <x:v>0.7972</x:v>
      </x:c>
      <x:c r="F18" s="20" t="n">
        <x:f>'10_Data'!R46</x:f>
        <x:v>0.853</x:v>
      </x:c>
      <x:c r="G18" s="14" t="n">
        <x:f>'10_Data'!S46</x:f>
        <x:v>35</x:v>
      </x:c>
      <x:c r="H18" s="20" t="n">
        <x:f>'10_Data'!T46</x:f>
        <x:v>0.029</x:v>
      </x:c>
      <x:c r="I18" s="14" t="n">
        <x:f>'10_Data'!U46</x:f>
        <x:v>90</x:v>
      </x:c>
      <x:c r="J18" s="14" t="str">
        <x:f>IF(I18&gt;=88,"EXPAND",IF(I18&lt;70,"REVIEW","MAINTAIN"))</x:f>
        <x:v>EXPAND</x:v>
      </x:c>
    </x:row>
    <x:row r="19">
      <x:c r="A19" s="141"/>
      <x:c r="B19" s="141"/>
      <x:c r="C19" s="141"/>
      <x:c r="D19" s="141"/>
      <x:c r="E19" s="141"/>
      <x:c r="F19" s="141"/>
      <x:c r="G19" s="141"/>
      <x:c r="H19" s="141"/>
      <x:c r="I19" s="141"/>
      <x:c r="J19" s="141"/>
    </x:row>
    <x:row r="20">
      <x:c r="A20" s="141"/>
      <x:c r="B20" s="141"/>
      <x:c r="C20" s="141"/>
      <x:c r="D20" s="141"/>
      <x:c r="E20" s="141"/>
      <x:c r="F20" s="141"/>
      <x:c r="G20" s="141"/>
      <x:c r="H20" s="141"/>
      <x:c r="I20" s="141"/>
      <x:c r="J20" s="141"/>
    </x:row>
    <x:row r="21">
      <x:c r="A21" s="141"/>
      <x:c r="B21" s="141"/>
      <x:c r="C21" s="141"/>
      <x:c r="D21" s="141"/>
      <x:c r="E21" s="141"/>
      <x:c r="F21" s="141"/>
      <x:c r="G21" s="141"/>
      <x:c r="H21" s="141"/>
      <x:c r="I21" s="141"/>
      <x:c r="J21" s="141"/>
    </x:row>
    <x:row r="22">
      <x:c r="A22" s="105" t="str">
        <x:v>SUPPLIER RECOMMENDATION
Concentrate future buying with high-scoring partners that combine margin, sell-through and dependable delivery. Place low-service vendors on a 90-day corrective action plan before reducing purchase commitment.</x:v>
      </x:c>
      <x:c r="B22" s="106"/>
      <x:c r="C22" s="106"/>
      <x:c r="D22" s="106"/>
      <x:c r="E22" s="106"/>
      <x:c r="F22" s="106"/>
      <x:c r="G22" s="106"/>
      <x:c r="H22" s="106"/>
      <x:c r="I22" s="106"/>
      <x:c r="J22" s="106"/>
    </x:row>
    <x:row r="23">
      <x:c r="A23" s="105"/>
      <x:c r="B23" s="106"/>
      <x:c r="C23" s="106"/>
      <x:c r="D23" s="106"/>
      <x:c r="E23" s="106"/>
      <x:c r="F23" s="106"/>
      <x:c r="G23" s="106"/>
      <x:c r="H23" s="106"/>
      <x:c r="I23" s="106"/>
      <x:c r="J23" s="106"/>
    </x:row>
    <x:row r="24">
      <x:c r="A24" s="105"/>
      <x:c r="B24" s="106"/>
      <x:c r="C24" s="106"/>
      <x:c r="D24" s="106"/>
      <x:c r="E24" s="106"/>
      <x:c r="F24" s="106"/>
      <x:c r="G24" s="106"/>
      <x:c r="H24" s="106"/>
      <x:c r="I24" s="106"/>
      <x:c r="J24" s="106"/>
    </x:row>
    <x:row r="25">
      <x:c r="A25" s="105"/>
      <x:c r="B25" s="106"/>
      <x:c r="C25" s="106"/>
      <x:c r="D25" s="106"/>
      <x:c r="E25" s="106"/>
      <x:c r="F25" s="106"/>
      <x:c r="G25" s="106"/>
      <x:c r="H25" s="106"/>
      <x:c r="I25" s="106"/>
      <x:c r="J25" s="106"/>
    </x:row>
    <x:row r="26">
      <x:c r="A26" s="105"/>
      <x:c r="B26" s="106"/>
      <x:c r="C26" s="106"/>
      <x:c r="D26" s="106"/>
      <x:c r="E26" s="106"/>
      <x:c r="F26" s="106"/>
      <x:c r="G26" s="106"/>
      <x:c r="H26" s="106"/>
      <x:c r="I26" s="106"/>
      <x:c r="J26" s="106"/>
    </x:row>
    <x:row r="27">
      <x:c r="A27" s="105"/>
      <x:c r="B27" s="106"/>
      <x:c r="C27" s="106"/>
      <x:c r="D27" s="106"/>
      <x:c r="E27" s="106"/>
      <x:c r="F27" s="106"/>
      <x:c r="G27" s="106"/>
      <x:c r="H27" s="106"/>
      <x:c r="I27" s="106"/>
      <x:c r="J27" s="106"/>
    </x:row>
    <x:row r="28">
      <x:c r="A28" s="105"/>
      <x:c r="B28" s="106"/>
      <x:c r="C28" s="106"/>
      <x:c r="D28" s="106"/>
      <x:c r="E28" s="106"/>
      <x:c r="F28" s="106"/>
      <x:c r="G28" s="106"/>
      <x:c r="H28" s="106"/>
      <x:c r="I28" s="106"/>
      <x:c r="J28" s="106"/>
    </x:row>
    <x:row r="29">
      <x:c r="A29" s="141"/>
      <x:c r="B29" s="141"/>
      <x:c r="C29" s="141"/>
      <x:c r="D29" s="141"/>
      <x:c r="E29" s="141"/>
      <x:c r="F29" s="141"/>
      <x:c r="G29" s="141"/>
      <x:c r="H29" s="141"/>
      <x:c r="I29" s="141"/>
      <x:c r="J29" s="141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141"/>
      <x:c r="J30" s="141"/>
    </x:row>
    <x:row r="31">
      <x:c r="A31" s="141"/>
      <x:c r="B31" s="141"/>
      <x:c r="C31" s="141"/>
      <x:c r="D31" s="141"/>
      <x:c r="E31" s="141"/>
      <x:c r="F31" s="141"/>
      <x:c r="G31" s="141"/>
      <x:c r="H31" s="141"/>
      <x:c r="I31" s="141"/>
      <x:c r="J31" s="141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1"/>
    </x:row>
  </x:sheetData>
  <x:mergeCells>
    <x:mergeCell ref="A1:J1"/>
    <x:mergeCell ref="A2:J3"/>
    <x:mergeCell ref="A4:J4"/>
    <x:mergeCell ref="A22:J28"/>
  </x:mergeCells>
  <x:conditionalFormatting sqref="J7:J18">
    <x:cfRule type="expression" dxfId="10" priority="1">
      <x:formula>J7="EXPAND"</x:formula>
    </x:cfRule>
    <x:cfRule type="expression" dxfId="11" priority="2">
      <x:formula>J7="REVIEW"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1" max="11" width="14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9" max="19" width="12" hidden="0" customWidth="1"/>
    <x:col min="20" max="20" width="14" hidden="0" customWidth="1"/>
    <x:col min="21" max="21" width="14" hidden="0" customWidth="1"/>
    <x:col min="23" max="23" width="14" hidden="0" customWidth="1"/>
    <x:col min="24" max="24" width="24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23" hidden="0" customWidth="1"/>
    <x:col min="31" max="31" width="14" hidden="0" customWidth="1"/>
    <x:col min="10" max="10" width="3" hidden="0" customWidth="1"/>
    <x:col min="18" max="18" width="3" hidden="0" customWidth="1"/>
    <x:col min="22" max="22" width="3" hidden="0" customWidth="1"/>
  </x:cols>
  <x:sheetData>
    <x:row r="1" ht="24" customHeight="1">
      <x:c r="A1" s="6" t="str">
        <x:v>Category</x:v>
      </x:c>
      <x:c r="B1" s="6" t="str">
        <x:v>SKUs</x:v>
      </x:c>
      <x:c r="C1" s="6" t="str">
        <x:v>Sales</x:v>
      </x:c>
      <x:c r="D1" s="6" t="str">
        <x:v>Margin</x:v>
      </x:c>
      <x:c r="E1" s="6" t="str">
        <x:v>Sell-Through</x:v>
      </x:c>
      <x:c r="F1" s="6" t="str">
        <x:v>Inventory</x:v>
      </x:c>
      <x:c r="G1" s="6" t="str">
        <x:v>Sales Share</x:v>
      </x:c>
      <x:c r="H1" s="6" t="str">
        <x:v>Inventory Share</x:v>
      </x:c>
      <x:c r="I1" s="6" t="str">
        <x:v>Sales / SKU</x:v>
      </x:c>
      <x:c r="J1" s="141"/>
      <x:c r="K1" s="6" t="str">
        <x:v>Store</x:v>
      </x:c>
      <x:c r="L1" s="6" t="str">
        <x:v>Full Name</x:v>
      </x:c>
      <x:c r="M1" s="6" t="str">
        <x:v>Region</x:v>
      </x:c>
      <x:c r="N1" s="6" t="str">
        <x:v>Tier</x:v>
      </x:c>
      <x:c r="O1" s="6" t="str">
        <x:v>Sales</x:v>
      </x:c>
      <x:c r="P1" s="6" t="str">
        <x:v>Inventory</x:v>
      </x:c>
      <x:c r="Q1" s="6" t="str">
        <x:v>WOS</x:v>
      </x:c>
      <x:c r="R1" s="141"/>
      <x:c r="S1" s="6" t="str">
        <x:v>Month</x:v>
      </x:c>
      <x:c r="T1" s="6" t="str">
        <x:v>Actual</x:v>
      </x:c>
      <x:c r="U1" s="6" t="str">
        <x:v>Plan</x:v>
      </x:c>
      <x:c r="V1" s="141"/>
      <x:c r="W1" s="6" t="str">
        <x:v>SKU</x:v>
      </x:c>
      <x:c r="X1" s="6" t="str">
        <x:v>Product</x:v>
      </x:c>
      <x:c r="Y1" s="6" t="str">
        <x:v>From</x:v>
      </x:c>
      <x:c r="Z1" s="6" t="str">
        <x:v>To</x:v>
      </x:c>
      <x:c r="AA1" s="6" t="str">
        <x:v>Units</x:v>
      </x:c>
      <x:c r="AB1" s="6" t="str">
        <x:v>From WOS</x:v>
      </x:c>
      <x:c r="AC1" s="6" t="str">
        <x:v>To WOS</x:v>
      </x:c>
      <x:c r="AD1" s="6" t="str">
        <x:v>KPI</x:v>
      </x:c>
      <x:c r="AE1" s="6" t="str">
        <x:v>Value</x:v>
      </x:c>
    </x:row>
    <x:row r="2" ht="21" customHeight="1">
      <x:c r="A2" s="12" t="str">
        <x:v>Tables</x:v>
      </x:c>
      <x:c r="B2" s="12" t="n">
        <x:v>90</x:v>
      </x:c>
      <x:c r="C2" s="15" t="n">
        <x:v>904950.7</x:v>
      </x:c>
      <x:c r="D2" s="18" t="n">
        <x:v>0.5164</x:v>
      </x:c>
      <x:c r="E2" s="18" t="n">
        <x:v>0.7739</x:v>
      </x:c>
      <x:c r="F2" s="15" t="n">
        <x:v>124759.2</x:v>
      </x:c>
      <x:c r="G2" s="18" t="n">
        <x:v>0.0955</x:v>
      </x:c>
      <x:c r="H2" s="18" t="n">
        <x:v>0.1095</x:v>
      </x:c>
      <x:c r="I2" s="15" t="n">
        <x:v>10055.01</x:v>
      </x:c>
      <x:c r="J2" s="141"/>
      <x:c r="K2" s="12" t="str">
        <x:v>Toronto</x:v>
      </x:c>
      <x:c r="L2" s="12" t="str">
        <x:v>Toronto Atelier</x:v>
      </x:c>
      <x:c r="M2" s="12" t="str">
        <x:v>Central</x:v>
      </x:c>
      <x:c r="N2" s="12" t="str">
        <x:v>A</x:v>
      </x:c>
      <x:c r="O2" s="15" t="n">
        <x:v>1403621.35</x:v>
      </x:c>
      <x:c r="P2" s="15" t="n">
        <x:v>157547.8</x:v>
      </x:c>
      <x:c r="Q2" s="21" t="n">
        <x:v>7.2</x:v>
      </x:c>
      <x:c r="R2" s="141"/>
      <x:c r="S2" s="12" t="str">
        <x:v>2026-01</x:v>
      </x:c>
      <x:c r="T2" s="15" t="n">
        <x:v>1325627.34</x:v>
      </x:c>
      <x:c r="U2" s="15" t="n">
        <x:v>1299634.65</x:v>
      </x:c>
      <x:c r="V2" s="141"/>
      <x:c r="W2" s="12" t="str">
        <x:v>ORG1744</x:v>
      </x:c>
      <x:c r="X2" s="12" t="str">
        <x:v>Noir Glass House</x:v>
      </x:c>
      <x:c r="Y2" s="12" t="str">
        <x:v>Moncton</x:v>
      </x:c>
      <x:c r="Z2" s="12" t="str">
        <x:v>Halifax</x:v>
      </x:c>
      <x:c r="AA2" s="12" t="n">
        <x:v>6</x:v>
      </x:c>
      <x:c r="AB2" s="12" t="n">
        <x:v>8.7</x:v>
      </x:c>
      <x:c r="AC2" s="12" t="n">
        <x:v>0</x:v>
      </x:c>
      <x:c r="AD2" s="12" t="str">
        <x:v>Net Sales</x:v>
      </x:c>
      <x:c r="AE2" s="12" t="n">
        <x:v>9477976.81</x:v>
      </x:c>
    </x:row>
    <x:row r="3" ht="21" customHeight="1">
      <x:c r="A3" s="13" t="str">
        <x:v>Accent Furniture</x:v>
      </x:c>
      <x:c r="B3" s="13" t="n">
        <x:v>125</x:v>
      </x:c>
      <x:c r="C3" s="16" t="n">
        <x:v>823500.09</x:v>
      </x:c>
      <x:c r="D3" s="19" t="n">
        <x:v>0.5187</x:v>
      </x:c>
      <x:c r="E3" s="19" t="n">
        <x:v>0.7751</x:v>
      </x:c>
      <x:c r="F3" s="16" t="n">
        <x:v>115084.94</x:v>
      </x:c>
      <x:c r="G3" s="19" t="n">
        <x:v>0.0869</x:v>
      </x:c>
      <x:c r="H3" s="19" t="n">
        <x:v>0.101</x:v>
      </x:c>
      <x:c r="I3" s="16" t="n">
        <x:v>6588</x:v>
      </x:c>
      <x:c r="J3" s="141"/>
      <x:c r="K3" s="13" t="str">
        <x:v>Mississauga</x:v>
      </x:c>
      <x:c r="L3" s="13" t="str">
        <x:v>Mississauga Studio</x:v>
      </x:c>
      <x:c r="M3" s="13" t="str">
        <x:v>Central</x:v>
      </x:c>
      <x:c r="N3" s="13" t="str">
        <x:v>A</x:v>
      </x:c>
      <x:c r="O3" s="16" t="n">
        <x:v>1252787.3</x:v>
      </x:c>
      <x:c r="P3" s="16" t="n">
        <x:v>137057.49</x:v>
      </x:c>
      <x:c r="Q3" s="22" t="n">
        <x:v>7.2</x:v>
      </x:c>
      <x:c r="R3" s="141"/>
      <x:c r="S3" s="13" t="str">
        <x:v>2026-02</x:v>
      </x:c>
      <x:c r="T3" s="16" t="n">
        <x:v>1150780.12</x:v>
      </x:c>
      <x:c r="U3" s="16" t="n">
        <x:v>1128215.8</x:v>
      </x:c>
      <x:c r="V3" s="141"/>
      <x:c r="W3" s="13" t="str">
        <x:v>HAL2007</x:v>
      </x:c>
      <x:c r="X3" s="13" t="str">
        <x:v>Marlow Rattan Edit</x:v>
      </x:c>
      <x:c r="Y3" s="13" t="str">
        <x:v>Charlottetown</x:v>
      </x:c>
      <x:c r="Z3" s="13" t="str">
        <x:v>Halifax</x:v>
      </x:c>
      <x:c r="AA3" s="13" t="n">
        <x:v>8</x:v>
      </x:c>
      <x:c r="AB3" s="13" t="n">
        <x:v>8.8</x:v>
      </x:c>
      <x:c r="AC3" s="13" t="n">
        <x:v>0.9</x:v>
      </x:c>
      <x:c r="AD3" s="13" t="str">
        <x:v>Sales vs Plan</x:v>
      </x:c>
      <x:c r="AE3" s="13" t="n">
        <x:v>0.042</x:v>
      </x:c>
    </x:row>
    <x:row r="4" ht="21" customHeight="1">
      <x:c r="A4" s="13" t="str">
        <x:v>Seating</x:v>
      </x:c>
      <x:c r="B4" s="13" t="n">
        <x:v>85</x:v>
      </x:c>
      <x:c r="C4" s="16" t="n">
        <x:v>756521.76</x:v>
      </x:c>
      <x:c r="D4" s="19" t="n">
        <x:v>0.5005</x:v>
      </x:c>
      <x:c r="E4" s="19" t="n">
        <x:v>0.7633</x:v>
      </x:c>
      <x:c r="F4" s="16" t="n">
        <x:v>120315.44</x:v>
      </x:c>
      <x:c r="G4" s="19" t="n">
        <x:v>0.0798</x:v>
      </x:c>
      <x:c r="H4" s="19" t="n">
        <x:v>0.1056</x:v>
      </x:c>
      <x:c r="I4" s="16" t="n">
        <x:v>8900.26</x:v>
      </x:c>
      <x:c r="J4" s="141"/>
      <x:c r="K4" s="13" t="str">
        <x:v>Halifax</x:v>
      </x:c>
      <x:c r="L4" s="13" t="str">
        <x:v>Halifax Harbour</x:v>
      </x:c>
      <x:c r="M4" s="13" t="str">
        <x:v>Atlantic</x:v>
      </x:c>
      <x:c r="N4" s="13" t="str">
        <x:v>A</x:v>
      </x:c>
      <x:c r="O4" s="16" t="n">
        <x:v>1146693.51</x:v>
      </x:c>
      <x:c r="P4" s="16" t="n">
        <x:v>133240.99</x:v>
      </x:c>
      <x:c r="Q4" s="22" t="n">
        <x:v>7.6</x:v>
      </x:c>
      <x:c r="R4" s="141"/>
      <x:c r="S4" s="13" t="str">
        <x:v>2026-03</x:v>
      </x:c>
      <x:c r="T4" s="16" t="n">
        <x:v>1314398.81</x:v>
      </x:c>
      <x:c r="U4" s="16" t="n">
        <x:v>1288626.28</x:v>
      </x:c>
      <x:c r="V4" s="141"/>
      <x:c r="W4" s="13" t="str">
        <x:v>CHR1969</x:v>
      </x:c>
      <x:c r="X4" s="13" t="str">
        <x:v>Arc Marble Collection</x:v>
      </x:c>
      <x:c r="Y4" s="13" t="str">
        <x:v>Moncton</x:v>
      </x:c>
      <x:c r="Z4" s="13" t="str">
        <x:v>Toronto</x:v>
      </x:c>
      <x:c r="AA4" s="13" t="n">
        <x:v>12</x:v>
      </x:c>
      <x:c r="AB4" s="13" t="n">
        <x:v>9.4</x:v>
      </x:c>
      <x:c r="AC4" s="13" t="n">
        <x:v>1.1</x:v>
      </x:c>
      <x:c r="AD4" s="13" t="str">
        <x:v>Gross Margin</x:v>
      </x:c>
      <x:c r="AE4" s="13" t="n">
        <x:v>0.5191</x:v>
      </x:c>
    </x:row>
    <x:row r="5" ht="21" customHeight="1">
      <x:c r="A5" s="13" t="str">
        <x:v>Floor Lamps</x:v>
      </x:c>
      <x:c r="B5" s="13" t="n">
        <x:v>45</x:v>
      </x:c>
      <x:c r="C5" s="16" t="n">
        <x:v>670538.26</x:v>
      </x:c>
      <x:c r="D5" s="19" t="n">
        <x:v>0.5242</x:v>
      </x:c>
      <x:c r="E5" s="19" t="n">
        <x:v>0.8605</x:v>
      </x:c>
      <x:c r="F5" s="16" t="n">
        <x:v>51832.31</x:v>
      </x:c>
      <x:c r="G5" s="19" t="n">
        <x:v>0.0707</x:v>
      </x:c>
      <x:c r="H5" s="19" t="n">
        <x:v>0.0455</x:v>
      </x:c>
      <x:c r="I5" s="16" t="n">
        <x:v>14900.85</x:v>
      </x:c>
      <x:c r="J5" s="141"/>
      <x:c r="K5" s="13" t="str">
        <x:v>Ottawa</x:v>
      </x:c>
      <x:c r="L5" s="13" t="str">
        <x:v>Ottawa Collection</x:v>
      </x:c>
      <x:c r="M5" s="13" t="str">
        <x:v>Central</x:v>
      </x:c>
      <x:c r="N5" s="13" t="str">
        <x:v>A</x:v>
      </x:c>
      <x:c r="O5" s="16" t="n">
        <x:v>1090511.69</x:v>
      </x:c>
      <x:c r="P5" s="16" t="n">
        <x:v>126428.35</x:v>
      </x:c>
      <x:c r="Q5" s="22" t="n">
        <x:v>7.5</x:v>
      </x:c>
      <x:c r="R5" s="141"/>
      <x:c r="S5" s="13" t="str">
        <x:v>2026-04</x:v>
      </x:c>
      <x:c r="T5" s="16" t="n">
        <x:v>1267945.41</x:v>
      </x:c>
      <x:c r="U5" s="16" t="n">
        <x:v>1320776.47</x:v>
      </x:c>
      <x:c r="V5" s="141"/>
      <x:c r="W5" s="13" t="str">
        <x:v>HAL2018</x:v>
      </x:c>
      <x:c r="X5" s="13" t="str">
        <x:v>Mira Marble Form</x:v>
      </x:c>
      <x:c r="Y5" s="13" t="str">
        <x:v>London</x:v>
      </x:c>
      <x:c r="Z5" s="13" t="str">
        <x:v>Ottawa</x:v>
      </x:c>
      <x:c r="AA5" s="13" t="n">
        <x:v>16</x:v>
      </x:c>
      <x:c r="AB5" s="13" t="n">
        <x:v>10</x:v>
      </x:c>
      <x:c r="AC5" s="13" t="n">
        <x:v>1.3</x:v>
      </x:c>
      <x:c r="AD5" s="13" t="str">
        <x:v>Sell-Through</x:v>
      </x:c>
      <x:c r="AE5" s="13" t="n">
        <x:v>0.6243</x:v>
      </x:c>
    </x:row>
    <x:row r="6" ht="21" customHeight="1">
      <x:c r="A6" s="13" t="str">
        <x:v>Pendants</x:v>
      </x:c>
      <x:c r="B6" s="13" t="n">
        <x:v>40</x:v>
      </x:c>
      <x:c r="C6" s="16" t="n">
        <x:v>656663.72</x:v>
      </x:c>
      <x:c r="D6" s="19" t="n">
        <x:v>0.5145</x:v>
      </x:c>
      <x:c r="E6" s="19" t="n">
        <x:v>0.8486</x:v>
      </x:c>
      <x:c r="F6" s="16" t="n">
        <x:v>56943.05</x:v>
      </x:c>
      <x:c r="G6" s="19" t="n">
        <x:v>0.0693</x:v>
      </x:c>
      <x:c r="H6" s="19" t="n">
        <x:v>0.05</x:v>
      </x:c>
      <x:c r="I6" s="16" t="n">
        <x:v>16416.59</x:v>
      </x:c>
      <x:c r="J6" s="141"/>
      <x:c r="K6" s="13" t="str">
        <x:v>Dartmouth</x:v>
      </x:c>
      <x:c r="L6" s="13" t="str">
        <x:v>Dartmouth Crossing</x:v>
      </x:c>
      <x:c r="M6" s="13" t="str">
        <x:v>Atlantic</x:v>
      </x:c>
      <x:c r="N6" s="13" t="str">
        <x:v>B</x:v>
      </x:c>
      <x:c r="O6" s="16" t="n">
        <x:v>890647.09</x:v>
      </x:c>
      <x:c r="P6" s="16" t="n">
        <x:v>107760.46</x:v>
      </x:c>
      <x:c r="Q6" s="22" t="n">
        <x:v>7.9</x:v>
      </x:c>
      <x:c r="R6" s="141"/>
      <x:c r="S6" s="13" t="str">
        <x:v>2026-05</x:v>
      </x:c>
      <x:c r="T6" s="16" t="n">
        <x:v>1327520.37</x:v>
      </x:c>
      <x:c r="U6" s="16" t="n">
        <x:v>1382833.72</x:v>
      </x:c>
      <x:c r="V6" s="141"/>
      <x:c r="W6" s="13" t="str">
        <x:v>CHR1940</x:v>
      </x:c>
      <x:c r="X6" s="13" t="str">
        <x:v>Luna Cotton Collection</x:v>
      </x:c>
      <x:c r="Y6" s="13" t="str">
        <x:v>Kingston</x:v>
      </x:c>
      <x:c r="Z6" s="13" t="str">
        <x:v>Mississauga</x:v>
      </x:c>
      <x:c r="AA6" s="13" t="n">
        <x:v>20</x:v>
      </x:c>
      <x:c r="AB6" s="13" t="n">
        <x:v>10.6</x:v>
      </x:c>
      <x:c r="AC6" s="13" t="n">
        <x:v>1.5</x:v>
      </x:c>
      <x:c r="AD6" s="13" t="str">
        <x:v>Inventory Value</x:v>
      </x:c>
      <x:c r="AE6" s="13" t="n">
        <x:v>1139614.21</x:v>
      </x:c>
    </x:row>
    <x:row r="7" ht="21" customHeight="1">
      <x:c r="A7" s="13" t="str">
        <x:v>Table Lamps</x:v>
      </x:c>
      <x:c r="B7" s="13" t="n">
        <x:v>65</x:v>
      </x:c>
      <x:c r="C7" s="16" t="n">
        <x:v>629281.88</x:v>
      </x:c>
      <x:c r="D7" s="19" t="n">
        <x:v>0.5297</x:v>
      </x:c>
      <x:c r="E7" s="19" t="n">
        <x:v>0.8672</x:v>
      </x:c>
      <x:c r="F7" s="16" t="n">
        <x:v>43671.8</x:v>
      </x:c>
      <x:c r="G7" s="19" t="n">
        <x:v>0.0664</x:v>
      </x:c>
      <x:c r="H7" s="19" t="n">
        <x:v>0.0383</x:v>
      </x:c>
      <x:c r="I7" s="16" t="n">
        <x:v>9681.26</x:v>
      </x:c>
      <x:c r="J7" s="141"/>
      <x:c r="K7" s="13" t="str">
        <x:v>London</x:v>
      </x:c>
      <x:c r="L7" s="13" t="str">
        <x:v>London Gallery</x:v>
      </x:c>
      <x:c r="M7" s="13" t="str">
        <x:v>Central</x:v>
      </x:c>
      <x:c r="N7" s="13" t="str">
        <x:v>B</x:v>
      </x:c>
      <x:c r="O7" s="16" t="n">
        <x:v>828979.73</x:v>
      </x:c>
      <x:c r="P7" s="16" t="n">
        <x:v>105635.72</x:v>
      </x:c>
      <x:c r="Q7" s="22" t="n">
        <x:v>8</x:v>
      </x:c>
      <x:c r="R7" s="141"/>
      <x:c r="S7" s="13" t="str">
        <x:v>2026-06</x:v>
      </x:c>
      <x:c r="T7" s="16" t="n">
        <x:v>1283277.43</x:v>
      </x:c>
      <x:c r="U7" s="16" t="n">
        <x:v>1336747.32</x:v>
      </x:c>
      <x:c r="V7" s="141"/>
      <x:c r="W7" s="13" t="str">
        <x:v>CHR1953</x:v>
      </x:c>
      <x:c r="X7" s="13" t="str">
        <x:v>Avery Cotton Atelier</x:v>
      </x:c>
      <x:c r="Y7" s="13" t="str">
        <x:v>Charlottetown</x:v>
      </x:c>
      <x:c r="Z7" s="13" t="str">
        <x:v>Halifax</x:v>
      </x:c>
      <x:c r="AA7" s="13" t="n">
        <x:v>8</x:v>
      </x:c>
      <x:c r="AB7" s="13" t="n">
        <x:v>11.2</x:v>
      </x:c>
      <x:c r="AC7" s="13" t="n">
        <x:v>1.7</x:v>
      </x:c>
      <x:c r="AD7" s="13" t="str">
        <x:v>Weeks of Supply</x:v>
      </x:c>
      <x:c r="AE7" s="13" t="n">
        <x:v>7.8</x:v>
      </x:c>
    </x:row>
    <x:row r="8" ht="21" customHeight="1">
      <x:c r="A8" s="13" t="str">
        <x:v>Wall Decor</x:v>
      </x:c>
      <x:c r="B8" s="13" t="n">
        <x:v>160</x:v>
      </x:c>
      <x:c r="C8" s="16" t="n">
        <x:v>525837.31</x:v>
      </x:c>
      <x:c r="D8" s="19" t="n">
        <x:v>0.5264</x:v>
      </x:c>
      <x:c r="E8" s="19" t="n">
        <x:v>0.7707</x:v>
      </x:c>
      <x:c r="F8" s="16" t="n">
        <x:v>73290.3</x:v>
      </x:c>
      <x:c r="G8" s="19" t="n">
        <x:v>0.0555</x:v>
      </x:c>
      <x:c r="H8" s="19" t="n">
        <x:v>0.0643</x:v>
      </x:c>
      <x:c r="I8" s="16" t="n">
        <x:v>3286.48</x:v>
      </x:c>
      <x:c r="J8" s="141"/>
      <x:c r="K8" s="13" t="str">
        <x:v>Moncton</x:v>
      </x:c>
      <x:c r="L8" s="13" t="str">
        <x:v>Moncton Market</x:v>
      </x:c>
      <x:c r="M8" s="13" t="str">
        <x:v>Atlantic</x:v>
      </x:c>
      <x:c r="N8" s="13" t="str">
        <x:v>B</x:v>
      </x:c>
      <x:c r="O8" s="16" t="n">
        <x:v>770781.49</x:v>
      </x:c>
      <x:c r="P8" s="16" t="n">
        <x:v>104532.38</x:v>
      </x:c>
      <x:c r="Q8" s="22" t="n">
        <x:v>8.8</x:v>
      </x:c>
      <x:c r="R8" s="141"/>
      <x:c r="S8" s="13" t="str">
        <x:v>2026-07</x:v>
      </x:c>
      <x:c r="T8" s="16" t="n">
        <x:v>1306251.76</x:v>
      </x:c>
      <x:c r="U8" s="16" t="n">
        <x:v>1280638.98</x:v>
      </x:c>
      <x:c r="V8" s="141"/>
      <x:c r="W8" s="13" t="str">
        <x:v>DEC0118</x:v>
      </x:c>
      <x:c r="X8" s="13" t="str">
        <x:v>Marlow Brass Studio</x:v>
      </x:c>
      <x:c r="Y8" s="13" t="str">
        <x:v>Moncton</x:v>
      </x:c>
      <x:c r="Z8" s="13" t="str">
        <x:v>Toronto</x:v>
      </x:c>
      <x:c r="AA8" s="13" t="n">
        <x:v>12</x:v>
      </x:c>
      <x:c r="AB8" s="13" t="n">
        <x:v>11.8</x:v>
      </x:c>
      <x:c r="AC8" s="13" t="n">
        <x:v>1.9</x:v>
      </x:c>
      <x:c r="AD8" s="13" t="str">
        <x:v>Markdown Penetration</x:v>
      </x:c>
      <x:c r="AE8" s="13" t="n">
        <x:v>0.0453</x:v>
      </x:c>
    </x:row>
    <x:row r="9" ht="21" customHeight="1">
      <x:c r="A9" s="13" t="str">
        <x:v>Cookware</x:v>
      </x:c>
      <x:c r="B9" s="13" t="n">
        <x:v>120</x:v>
      </x:c>
      <x:c r="C9" s="16" t="n">
        <x:v>509721.11</x:v>
      </x:c>
      <x:c r="D9" s="19" t="n">
        <x:v>0.5186</x:v>
      </x:c>
      <x:c r="E9" s="19" t="n">
        <x:v>0.8201</x:v>
      </x:c>
      <x:c r="F9" s="16" t="n">
        <x:v>54725.57</x:v>
      </x:c>
      <x:c r="G9" s="19" t="n">
        <x:v>0.0538</x:v>
      </x:c>
      <x:c r="H9" s="19" t="n">
        <x:v>0.048</x:v>
      </x:c>
      <x:c r="I9" s="16" t="n">
        <x:v>4247.68</x:v>
      </x:c>
      <x:c r="J9" s="141"/>
      <x:c r="K9" s="13" t="str">
        <x:v>Kingston</x:v>
      </x:c>
      <x:c r="L9" s="13" t="str">
        <x:v>Kingston Edit</x:v>
      </x:c>
      <x:c r="M9" s="13" t="str">
        <x:v>Central</x:v>
      </x:c>
      <x:c r="N9" s="13" t="str">
        <x:v>B</x:v>
      </x:c>
      <x:c r="O9" s="16" t="n">
        <x:v>739321.95</x:v>
      </x:c>
      <x:c r="P9" s="16" t="n">
        <x:v>92864.34</x:v>
      </x:c>
      <x:c r="Q9" s="22" t="n">
        <x:v>8</x:v>
      </x:c>
      <x:c r="R9" s="141"/>
      <x:c r="S9" s="14" t="str">
        <x:v>2026-08</x:v>
      </x:c>
      <x:c r="T9" s="17" t="n">
        <x:v>502175.57</x:v>
      </x:c>
      <x:c r="U9" s="17" t="n">
        <x:v>492328.99</x:v>
      </x:c>
      <x:c r="V9" s="141"/>
      <x:c r="W9" s="14" t="str">
        <x:v>HAL2010</x:v>
      </x:c>
      <x:c r="X9" s="14" t="str">
        <x:v>Sable Marble Studio</x:v>
      </x:c>
      <x:c r="Y9" s="14" t="str">
        <x:v>London</x:v>
      </x:c>
      <x:c r="Z9" s="14" t="str">
        <x:v>Ottawa</x:v>
      </x:c>
      <x:c r="AA9" s="14" t="n">
        <x:v>16</x:v>
      </x:c>
      <x:c r="AB9" s="14" t="n">
        <x:v>12.4</x:v>
      </x:c>
      <x:c r="AC9" s="14" t="n">
        <x:v>2.1</x:v>
      </x:c>
      <x:c r="AD9" s="14" t="str">
        <x:v>Stock Turn</x:v>
      </x:c>
      <x:c r="AE9" s="14" t="n">
        <x:v>7.1</x:v>
      </x:c>
    </x:row>
    <x:row r="10" ht="21" customHeight="1">
      <x:c r="A10" s="13" t="str">
        <x:v>Decorative Objects</x:v>
      </x:c>
      <x:c r="B10" s="13" t="n">
        <x:v>190</x:v>
      </x:c>
      <x:c r="C10" s="16" t="n">
        <x:v>453747.69</x:v>
      </x:c>
      <x:c r="D10" s="19" t="n">
        <x:v>0.5155</x:v>
      </x:c>
      <x:c r="E10" s="19" t="n">
        <x:v>0.7736</x:v>
      </x:c>
      <x:c r="F10" s="16" t="n">
        <x:v>65971.89</x:v>
      </x:c>
      <x:c r="G10" s="19" t="n">
        <x:v>0.0479</x:v>
      </x:c>
      <x:c r="H10" s="19" t="n">
        <x:v>0.0579</x:v>
      </x:c>
      <x:c r="I10" s="16" t="n">
        <x:v>2388.15</x:v>
      </x:c>
      <x:c r="J10" s="141"/>
      <x:c r="K10" s="13" t="str">
        <x:v>Charlottetown</x:v>
      </x:c>
      <x:c r="L10" s="13" t="str">
        <x:v>Charlottetown Flagship</x:v>
      </x:c>
      <x:c r="M10" s="13" t="str">
        <x:v>Atlantic</x:v>
      </x:c>
      <x:c r="N10" s="13" t="str">
        <x:v>B</x:v>
      </x:c>
      <x:c r="O10" s="16" t="n">
        <x:v>710759.31</x:v>
      </x:c>
      <x:c r="P10" s="16" t="n">
        <x:v>87346.73</x:v>
      </x:c>
      <x:c r="Q10" s="22" t="n">
        <x:v>8.2</x:v>
      </x:c>
      <x:c r="R10" s="141"/>
      <x:c r="S10" s="141"/>
      <x:c r="T10" s="141"/>
      <x:c r="U10" s="141"/>
      <x:c r="V10" s="141"/>
      <x:c r="W10" s="141"/>
      <x:c r="X10" s="141"/>
      <x:c r="Y10" s="141"/>
      <x:c r="Z10" s="141"/>
      <x:c r="AA10" s="141"/>
      <x:c r="AB10" s="141"/>
      <x:c r="AC10" s="141"/>
      <x:c r="AD10" s="141"/>
      <x:c r="AE10" s="141"/>
    </x:row>
    <x:row r="11" ht="21" customHeight="1">
      <x:c r="A11" s="13" t="str">
        <x:v>Sheets</x:v>
      </x:c>
      <x:c r="B11" s="13" t="n">
        <x:v>100</x:v>
      </x:c>
      <x:c r="C11" s="16" t="n">
        <x:v>426807.94</x:v>
      </x:c>
      <x:c r="D11" s="19" t="n">
        <x:v>0.5251</x:v>
      </x:c>
      <x:c r="E11" s="19" t="n">
        <x:v>0.8152</x:v>
      </x:c>
      <x:c r="F11" s="16" t="n">
        <x:v>46202.69</x:v>
      </x:c>
      <x:c r="G11" s="19" t="n">
        <x:v>0.045</x:v>
      </x:c>
      <x:c r="H11" s="19" t="n">
        <x:v>0.0405</x:v>
      </x:c>
      <x:c r="I11" s="16" t="n">
        <x:v>4268.08</x:v>
      </x:c>
      <x:c r="J11" s="141"/>
      <x:c r="K11" s="14" t="str">
        <x:v>Fredericton</x:v>
      </x:c>
      <x:c r="L11" s="14" t="str">
        <x:v>Fredericton House</x:v>
      </x:c>
      <x:c r="M11" s="14" t="str">
        <x:v>Atlantic</x:v>
      </x:c>
      <x:c r="N11" s="14" t="str">
        <x:v>C</x:v>
      </x:c>
      <x:c r="O11" s="17" t="n">
        <x:v>643873.39</x:v>
      </x:c>
      <x:c r="P11" s="17" t="n">
        <x:v>87199.95</x:v>
      </x:c>
      <x:c r="Q11" s="23" t="n">
        <x:v>8.8</x:v>
      </x:c>
      <x:c r="R11" s="141"/>
      <x:c r="S11" s="141"/>
      <x:c r="T11" s="141"/>
      <x:c r="U11" s="141"/>
      <x:c r="V11" s="141"/>
      <x:c r="W11" s="141"/>
      <x:c r="X11" s="141"/>
      <x:c r="Y11" s="141"/>
      <x:c r="Z11" s="141"/>
      <x:c r="AA11" s="141"/>
      <x:c r="AB11" s="141"/>
      <x:c r="AC11" s="141"/>
      <x:c r="AD11" s="141"/>
      <x:c r="AE11" s="141"/>
    </x:row>
    <x:row r="12" ht="21" customHeight="1">
      <x:c r="A12" s="13" t="str">
        <x:v>Duvets</x:v>
      </x:c>
      <x:c r="B12" s="13" t="n">
        <x:v>80</x:v>
      </x:c>
      <x:c r="C12" s="16" t="n">
        <x:v>389029.77</x:v>
      </x:c>
      <x:c r="D12" s="19" t="n">
        <x:v>0.5266</x:v>
      </x:c>
      <x:c r="E12" s="19" t="n">
        <x:v>0.7955</x:v>
      </x:c>
      <x:c r="F12" s="16" t="n">
        <x:v>48671.83</x:v>
      </x:c>
      <x:c r="G12" s="19" t="n">
        <x:v>0.041</x:v>
      </x:c>
      <x:c r="H12" s="19" t="n">
        <x:v>0.0427</x:v>
      </x:c>
      <x:c r="I12" s="16" t="n">
        <x:v>4862.87</x:v>
      </x:c>
      <x:c r="J12" s="141"/>
      <x:c r="K12" s="141"/>
      <x:c r="L12" s="141"/>
      <x:c r="M12" s="141"/>
      <x:c r="N12" s="141"/>
      <x:c r="O12" s="141"/>
      <x:c r="P12" s="141"/>
      <x:c r="Q12" s="141"/>
      <x:c r="R12" s="141"/>
      <x:c r="S12" s="141"/>
      <x:c r="T12" s="141"/>
      <x:c r="U12" s="141"/>
      <x:c r="V12" s="141"/>
      <x:c r="W12" s="141"/>
      <x:c r="X12" s="141"/>
      <x:c r="Y12" s="141"/>
      <x:c r="Z12" s="141"/>
      <x:c r="AA12" s="141"/>
      <x:c r="AB12" s="141"/>
      <x:c r="AC12" s="141"/>
      <x:c r="AD12" s="141"/>
      <x:c r="AE12" s="141"/>
    </x:row>
    <x:row r="13" ht="21" customHeight="1">
      <x:c r="A13" s="13" t="str">
        <x:v>Mirrors</x:v>
      </x:c>
      <x:c r="B13" s="13" t="n">
        <x:v>80</x:v>
      </x:c>
      <x:c r="C13" s="16" t="n">
        <x:v>322332.4</x:v>
      </x:c>
      <x:c r="D13" s="19" t="n">
        <x:v>0.523</x:v>
      </x:c>
      <x:c r="E13" s="19" t="n">
        <x:v>0.7602</x:v>
      </x:c>
      <x:c r="F13" s="16" t="n">
        <x:v>50623.28</x:v>
      </x:c>
      <x:c r="G13" s="19" t="n">
        <x:v>0.034</x:v>
      </x:c>
      <x:c r="H13" s="19" t="n">
        <x:v>0.0444</x:v>
      </x:c>
      <x:c r="I13" s="16" t="n">
        <x:v>4029.15</x:v>
      </x:c>
      <x:c r="J13" s="141"/>
      <x:c r="K13" s="141"/>
      <x:c r="L13" s="141"/>
      <x:c r="M13" s="141"/>
      <x:c r="N13" s="141"/>
      <x:c r="O13" s="141"/>
      <x:c r="P13" s="141"/>
      <x:c r="Q13" s="141"/>
      <x:c r="R13" s="141"/>
      <x:c r="S13" s="141"/>
      <x:c r="T13" s="141"/>
      <x:c r="U13" s="141"/>
      <x:c r="V13" s="141"/>
      <x:c r="W13" s="141"/>
      <x:c r="X13" s="141"/>
      <x:c r="Y13" s="141"/>
      <x:c r="Z13" s="141"/>
      <x:c r="AA13" s="141"/>
      <x:c r="AB13" s="141"/>
      <x:c r="AC13" s="141"/>
      <x:c r="AD13" s="141"/>
      <x:c r="AE13" s="141"/>
    </x:row>
    <x:row r="14" ht="24" customHeight="1">
      <x:c r="A14" s="13" t="str">
        <x:v>Serveware</x:v>
      </x:c>
      <x:c r="B14" s="13" t="n">
        <x:v>110</x:v>
      </x:c>
      <x:c r="C14" s="16" t="n">
        <x:v>306351.3</x:v>
      </x:c>
      <x:c r="D14" s="19" t="n">
        <x:v>0.5192</x:v>
      </x:c>
      <x:c r="E14" s="19" t="n">
        <x:v>0.8292</x:v>
      </x:c>
      <x:c r="F14" s="16" t="n">
        <x:v>31100.09</x:v>
      </x:c>
      <x:c r="G14" s="19" t="n">
        <x:v>0.0323</x:v>
      </x:c>
      <x:c r="H14" s="19" t="n">
        <x:v>0.0273</x:v>
      </x:c>
      <x:c r="I14" s="16" t="n">
        <x:v>2785.01</x:v>
      </x:c>
      <x:c r="J14" s="141"/>
      <x:c r="K14" s="141"/>
      <x:c r="L14" s="141"/>
      <x:c r="M14" s="141"/>
      <x:c r="N14" s="141"/>
      <x:c r="O14" s="141"/>
      <x:c r="P14" s="141"/>
      <x:c r="Q14" s="141"/>
      <x:c r="R14" s="141"/>
      <x:c r="S14" s="6" t="str">
        <x:v>Season</x:v>
      </x:c>
      <x:c r="T14" s="6" t="str">
        <x:v>Actual</x:v>
      </x:c>
      <x:c r="U14" s="6" t="str">
        <x:v>Plan</x:v>
      </x:c>
      <x:c r="V14" s="6" t="str">
        <x:v>Variance</x:v>
      </x:c>
      <x:c r="W14" s="6" t="str">
        <x:v>Price Band</x:v>
      </x:c>
      <x:c r="X14" s="6" t="str">
        <x:v>Sales</x:v>
      </x:c>
      <x:c r="Y14" s="6" t="str">
        <x:v>Inventory</x:v>
      </x:c>
      <x:c r="Z14" s="6" t="str">
        <x:v>Sell-Through</x:v>
      </x:c>
      <x:c r="AA14" s="141"/>
      <x:c r="AB14" s="141"/>
      <x:c r="AC14" s="141"/>
      <x:c r="AD14" s="141"/>
      <x:c r="AE14" s="141"/>
    </x:row>
    <x:row r="15" ht="21" customHeight="1">
      <x:c r="A15" s="13" t="str">
        <x:v>Textiles</x:v>
      </x:c>
      <x:c r="B15" s="13" t="n">
        <x:v>120</x:v>
      </x:c>
      <x:c r="C15" s="16" t="n">
        <x:v>257783.5</x:v>
      </x:c>
      <x:c r="D15" s="19" t="n">
        <x:v>0.5144</x:v>
      </x:c>
      <x:c r="E15" s="19" t="n">
        <x:v>0.7908</x:v>
      </x:c>
      <x:c r="F15" s="16" t="n">
        <x:v>32743.05</x:v>
      </x:c>
      <x:c r="G15" s="19" t="n">
        <x:v>0.0272</x:v>
      </x:c>
      <x:c r="H15" s="19" t="n">
        <x:v>0.0287</x:v>
      </x:c>
      <x:c r="I15" s="16" t="n">
        <x:v>2148.2</x:v>
      </x:c>
      <x:c r="J15" s="141"/>
      <x:c r="K15" s="141"/>
      <x:c r="L15" s="141"/>
      <x:c r="M15" s="141"/>
      <x:c r="N15" s="141"/>
      <x:c r="O15" s="141"/>
      <x:c r="P15" s="141"/>
      <x:c r="Q15" s="141"/>
      <x:c r="R15" s="141"/>
      <x:c r="S15" s="12" t="str">
        <x:v>Christmas Decor</x:v>
      </x:c>
      <x:c r="T15" s="15" t="n">
        <x:v>64494.17</x:v>
      </x:c>
      <x:c r="U15" s="15" t="n">
        <x:v>54517.47</x:v>
      </x:c>
      <x:c r="V15" s="18" t="n">
        <x:v>0.183</x:v>
      </x:c>
      <x:c r="W15" s="12" t="str">
        <x:v>Entry</x:v>
      </x:c>
      <x:c r="X15" s="15" t="n">
        <x:v>35909.01</x:v>
      </x:c>
      <x:c r="Y15" s="15" t="n">
        <x:v>3628.73</x:v>
      </x:c>
      <x:c r="Z15" s="18" t="n">
        <x:v>0.8193</x:v>
      </x:c>
      <x:c r="AA15" s="141"/>
      <x:c r="AB15" s="141"/>
      <x:c r="AC15" s="141"/>
      <x:c r="AD15" s="141"/>
      <x:c r="AE15" s="141"/>
    </x:row>
    <x:row r="16" ht="21" customHeight="1">
      <x:c r="A16" s="13" t="str">
        <x:v>Pillows</x:v>
      </x:c>
      <x:c r="B16" s="13" t="n">
        <x:v>80</x:v>
      </x:c>
      <x:c r="C16" s="16" t="n">
        <x:v>224997.24</x:v>
      </x:c>
      <x:c r="D16" s="19" t="n">
        <x:v>0.5173</x:v>
      </x:c>
      <x:c r="E16" s="19" t="n">
        <x:v>0.8328</x:v>
      </x:c>
      <x:c r="F16" s="16" t="n">
        <x:v>22175.33</x:v>
      </x:c>
      <x:c r="G16" s="19" t="n">
        <x:v>0.0237</x:v>
      </x:c>
      <x:c r="H16" s="19" t="n">
        <x:v>0.0195</x:v>
      </x:c>
      <x:c r="I16" s="16" t="n">
        <x:v>2812.47</x:v>
      </x:c>
      <x:c r="J16" s="141"/>
      <x:c r="K16" s="141"/>
      <x:c r="L16" s="141"/>
      <x:c r="M16" s="141"/>
      <x:c r="N16" s="141"/>
      <x:c r="O16" s="141"/>
      <x:c r="P16" s="141"/>
      <x:c r="Q16" s="141"/>
      <x:c r="R16" s="141"/>
      <x:c r="S16" s="13" t="str">
        <x:v>Giftware</x:v>
      </x:c>
      <x:c r="T16" s="16" t="n">
        <x:v>163310.25</x:v>
      </x:c>
      <x:c r="U16" s="16" t="n">
        <x:v>149551.51</x:v>
      </x:c>
      <x:c r="V16" s="19" t="n">
        <x:v>0.092</x:v>
      </x:c>
      <x:c r="W16" s="13" t="str">
        <x:v>Good</x:v>
      </x:c>
      <x:c r="X16" s="16" t="n">
        <x:v>314552.14</x:v>
      </x:c>
      <x:c r="Y16" s="16" t="n">
        <x:v>34663.42</x:v>
      </x:c>
      <x:c r="Z16" s="19" t="n">
        <x:v>0.8117</x:v>
      </x:c>
      <x:c r="AA16" s="141"/>
      <x:c r="AB16" s="141"/>
      <x:c r="AC16" s="141"/>
      <x:c r="AD16" s="141"/>
      <x:c r="AE16" s="141"/>
    </x:row>
    <x:row r="17" ht="21" customHeight="1">
      <x:c r="A17" s="13" t="str">
        <x:v>Shelving</x:v>
      </x:c>
      <x:c r="B17" s="13" t="n">
        <x:v>50</x:v>
      </x:c>
      <x:c r="C17" s="16" t="n">
        <x:v>203431.22</x:v>
      </x:c>
      <x:c r="D17" s="19" t="n">
        <x:v>0.5098</x:v>
      </x:c>
      <x:c r="E17" s="19" t="n">
        <x:v>0.7857</x:v>
      </x:c>
      <x:c r="F17" s="16" t="n">
        <x:v>27596.34</x:v>
      </x:c>
      <x:c r="G17" s="19" t="n">
        <x:v>0.0215</x:v>
      </x:c>
      <x:c r="H17" s="19" t="n">
        <x:v>0.0242</x:v>
      </x:c>
      <x:c r="I17" s="16" t="n">
        <x:v>4068.62</x:v>
      </x:c>
      <x:c r="J17" s="141"/>
      <x:c r="K17" s="141"/>
      <x:c r="L17" s="141"/>
      <x:c r="M17" s="141"/>
      <x:c r="N17" s="141"/>
      <x:c r="O17" s="141"/>
      <x:c r="P17" s="141"/>
      <x:c r="Q17" s="141"/>
      <x:c r="R17" s="141"/>
      <x:c r="S17" s="13" t="str">
        <x:v>Summer Living</x:v>
      </x:c>
      <x:c r="T17" s="16" t="n">
        <x:v>138329.19</x:v>
      </x:c>
      <x:c r="U17" s="16" t="n">
        <x:v>129158.91</x:v>
      </x:c>
      <x:c r="V17" s="19" t="n">
        <x:v>0.071</x:v>
      </x:c>
      <x:c r="W17" s="13" t="str">
        <x:v>Better</x:v>
      </x:c>
      <x:c r="X17" s="16" t="n">
        <x:v>971644.85</x:v>
      </x:c>
      <x:c r="Y17" s="16" t="n">
        <x:v>111985.51</x:v>
      </x:c>
      <x:c r="Z17" s="19" t="n">
        <x:v>0.8062</x:v>
      </x:c>
      <x:c r="AA17" s="141"/>
      <x:c r="AB17" s="141"/>
      <x:c r="AC17" s="141"/>
      <x:c r="AD17" s="141"/>
      <x:c r="AE17" s="141"/>
    </x:row>
    <x:row r="18" ht="21" customHeight="1">
      <x:c r="A18" s="13" t="str">
        <x:v>Towels</x:v>
      </x:c>
      <x:c r="B18" s="13" t="n">
        <x:v>90</x:v>
      </x:c>
      <x:c r="C18" s="16" t="n">
        <x:v>179077.96</x:v>
      </x:c>
      <x:c r="D18" s="19" t="n">
        <x:v>0.5198</x:v>
      </x:c>
      <x:c r="E18" s="19" t="n">
        <x:v>0.8363</x:v>
      </x:c>
      <x:c r="F18" s="16" t="n">
        <x:v>17227.33</x:v>
      </x:c>
      <x:c r="G18" s="19" t="n">
        <x:v>0.0189</x:v>
      </x:c>
      <x:c r="H18" s="19" t="n">
        <x:v>0.0151</x:v>
      </x:c>
      <x:c r="I18" s="16" t="n">
        <x:v>1989.76</x:v>
      </x:c>
      <x:c r="J18" s="141"/>
      <x:c r="K18" s="141"/>
      <x:c r="L18" s="141"/>
      <x:c r="M18" s="141"/>
      <x:c r="N18" s="141"/>
      <x:c r="O18" s="141"/>
      <x:c r="P18" s="141"/>
      <x:c r="Q18" s="141"/>
      <x:c r="R18" s="141"/>
      <x:c r="S18" s="13" t="str">
        <x:v>Halloween</x:v>
      </x:c>
      <x:c r="T18" s="16" t="n">
        <x:v>11523.33</x:v>
      </x:c>
      <x:c r="U18" s="16" t="n">
        <x:v>12232.83</x:v>
      </x:c>
      <x:c r="V18" s="19" t="n">
        <x:v>-0.058</x:v>
      </x:c>
      <x:c r="W18" s="14" t="str">
        <x:v>Best</x:v>
      </x:c>
      <x:c r="X18" s="17" t="n">
        <x:v>8155870.81</x:v>
      </x:c>
      <x:c r="Y18" s="17" t="n">
        <x:v>989336.55</x:v>
      </x:c>
      <x:c r="Z18" s="20" t="n">
        <x:v>0.7995</x:v>
      </x:c>
      <x:c r="AA18" s="141"/>
      <x:c r="AB18" s="141"/>
      <x:c r="AC18" s="141"/>
      <x:c r="AD18" s="141"/>
      <x:c r="AE18" s="141"/>
    </x:row>
    <x:row r="19" ht="21" customHeight="1">
      <x:c r="A19" s="13" t="str">
        <x:v>Candles</x:v>
      </x:c>
      <x:c r="B19" s="13" t="n">
        <x:v>70</x:v>
      </x:c>
      <x:c r="C19" s="16" t="n">
        <x:v>174109.75</x:v>
      </x:c>
      <x:c r="D19" s="19" t="n">
        <x:v>0.5169</x:v>
      </x:c>
      <x:c r="E19" s="19" t="n">
        <x:v>0.8385</x:v>
      </x:c>
      <x:c r="F19" s="16" t="n">
        <x:v>16700.06</x:v>
      </x:c>
      <x:c r="G19" s="19" t="n">
        <x:v>0.0184</x:v>
      </x:c>
      <x:c r="H19" s="19" t="n">
        <x:v>0.0147</x:v>
      </x:c>
      <x:c r="I19" s="16" t="n">
        <x:v>2487.28</x:v>
      </x:c>
      <x:c r="J19" s="141"/>
      <x:c r="K19" s="141"/>
      <x:c r="L19" s="141"/>
      <x:c r="M19" s="141"/>
      <x:c r="N19" s="141"/>
      <x:c r="O19" s="141"/>
      <x:c r="P19" s="141"/>
      <x:c r="Q19" s="141"/>
      <x:c r="R19" s="141"/>
      <x:c r="S19" s="14" t="str">
        <x:v>Winter Comfort</x:v>
      </x:c>
      <x:c r="T19" s="17" t="n">
        <x:v>67704.29</x:v>
      </x:c>
      <x:c r="U19" s="17" t="n">
        <x:v>78452.25</x:v>
      </x:c>
      <x:c r="V19" s="20" t="n">
        <x:v>-0.137</x:v>
      </x:c>
      <x:c r="W19" s="141"/>
      <x:c r="X19" s="141"/>
      <x:c r="Y19" s="141"/>
      <x:c r="Z19" s="141"/>
      <x:c r="AA19" s="141"/>
      <x:c r="AB19" s="141"/>
      <x:c r="AC19" s="141"/>
      <x:c r="AD19" s="141"/>
      <x:c r="AE19" s="141"/>
    </x:row>
    <x:row r="20" ht="21" customHeight="1">
      <x:c r="A20" s="13" t="str">
        <x:v>Curated Gifts</x:v>
      </x:c>
      <x:c r="B20" s="13" t="n">
        <x:v>40</x:v>
      </x:c>
      <x:c r="C20" s="16" t="n">
        <x:v>163310.25</x:v>
      </x:c>
      <x:c r="D20" s="19" t="n">
        <x:v>0.5168</x:v>
      </x:c>
      <x:c r="E20" s="19" t="n">
        <x:v>0.8333</x:v>
      </x:c>
      <x:c r="F20" s="16" t="n">
        <x:v>15586.01</x:v>
      </x:c>
      <x:c r="G20" s="19" t="n">
        <x:v>0.0172</x:v>
      </x:c>
      <x:c r="H20" s="19" t="n">
        <x:v>0.0137</x:v>
      </x:c>
      <x:c r="I20" s="16" t="n">
        <x:v>4082.76</x:v>
      </x:c>
      <x:c r="J20" s="141"/>
      <x:c r="K20" s="141"/>
      <x:c r="L20" s="141"/>
      <x:c r="M20" s="141"/>
      <x:c r="N20" s="141"/>
      <x:c r="O20" s="141"/>
      <x:c r="P20" s="141"/>
      <x:c r="Q20" s="141"/>
      <x:c r="R20" s="141"/>
      <x:c r="S20" s="141"/>
      <x:c r="T20" s="141"/>
      <x:c r="U20" s="141"/>
      <x:c r="V20" s="141"/>
      <x:c r="W20" s="141"/>
      <x:c r="X20" s="141"/>
      <x:c r="Y20" s="141"/>
      <x:c r="Z20" s="141"/>
      <x:c r="AA20" s="141"/>
      <x:c r="AB20" s="141"/>
      <x:c r="AC20" s="141"/>
      <x:c r="AD20" s="141"/>
      <x:c r="AE20" s="141"/>
    </x:row>
    <x:row r="21" ht="21" customHeight="1">
      <x:c r="A21" s="13" t="str">
        <x:v>Organizers</x:v>
      </x:c>
      <x:c r="B21" s="13" t="n">
        <x:v>70</x:v>
      </x:c>
      <x:c r="C21" s="16" t="n">
        <x:v>141761.73</x:v>
      </x:c>
      <x:c r="D21" s="19" t="n">
        <x:v>0.5353</x:v>
      </x:c>
      <x:c r="E21" s="19" t="n">
        <x:v>0.7938</x:v>
      </x:c>
      <x:c r="F21" s="16" t="n">
        <x:v>17856.65</x:v>
      </x:c>
      <x:c r="G21" s="19" t="n">
        <x:v>0.015</x:v>
      </x:c>
      <x:c r="H21" s="19" t="n">
        <x:v>0.0157</x:v>
      </x:c>
      <x:c r="I21" s="16" t="n">
        <x:v>2025.17</x:v>
      </x:c>
      <x:c r="J21" s="141"/>
      <x:c r="K21" s="141"/>
      <x:c r="L21" s="141"/>
      <x:c r="M21" s="141"/>
      <x:c r="N21" s="141"/>
      <x:c r="O21" s="141"/>
      <x:c r="P21" s="141"/>
      <x:c r="Q21" s="141"/>
      <x:c r="R21" s="141"/>
      <x:c r="S21" s="141"/>
      <x:c r="T21" s="141"/>
      <x:c r="U21" s="141"/>
      <x:c r="V21" s="141"/>
      <x:c r="W21" s="141"/>
      <x:c r="X21" s="141"/>
      <x:c r="Y21" s="141"/>
      <x:c r="Z21" s="141"/>
      <x:c r="AA21" s="141"/>
      <x:c r="AB21" s="141"/>
      <x:c r="AC21" s="141"/>
      <x:c r="AD21" s="141"/>
      <x:c r="AE21" s="141"/>
    </x:row>
    <x:row r="22" ht="21" customHeight="1">
      <x:c r="A22" s="13" t="str">
        <x:v>Summer Living</x:v>
      </x:c>
      <x:c r="B22" s="13" t="n">
        <x:v>45</x:v>
      </x:c>
      <x:c r="C22" s="16" t="n">
        <x:v>138329.19</x:v>
      </x:c>
      <x:c r="D22" s="19" t="n">
        <x:v>0.5215</x:v>
      </x:c>
      <x:c r="E22" s="19" t="n">
        <x:v>0.7915</x:v>
      </x:c>
      <x:c r="F22" s="16" t="n">
        <x:v>17367.83</x:v>
      </x:c>
      <x:c r="G22" s="19" t="n">
        <x:v>0.0146</x:v>
      </x:c>
      <x:c r="H22" s="19" t="n">
        <x:v>0.0152</x:v>
      </x:c>
      <x:c r="I22" s="16" t="n">
        <x:v>3073.98</x:v>
      </x:c>
      <x:c r="J22" s="141"/>
      <x:c r="K22" s="141"/>
      <x:c r="L22" s="141"/>
      <x:c r="M22" s="141"/>
      <x:c r="N22" s="141"/>
      <x:c r="O22" s="141"/>
      <x:c r="P22" s="141"/>
      <x:c r="Q22" s="141"/>
      <x:c r="R22" s="141"/>
      <x:c r="S22" s="141"/>
      <x:c r="T22" s="141"/>
      <x:c r="U22" s="141"/>
      <x:c r="V22" s="141"/>
      <x:c r="W22" s="141"/>
      <x:c r="X22" s="141"/>
      <x:c r="Y22" s="141"/>
      <x:c r="Z22" s="141"/>
      <x:c r="AA22" s="141"/>
      <x:c r="AB22" s="141"/>
      <x:c r="AC22" s="141"/>
      <x:c r="AD22" s="141"/>
      <x:c r="AE22" s="141"/>
    </x:row>
    <x:row r="23" ht="21" customHeight="1">
      <x:c r="A23" s="13" t="str">
        <x:v>Bath Accessories</x:v>
      </x:c>
      <x:c r="B23" s="13" t="n">
        <x:v>70</x:v>
      </x:c>
      <x:c r="C23" s="16" t="n">
        <x:v>132885.87</x:v>
      </x:c>
      <x:c r="D23" s="19" t="n">
        <x:v>0.5206</x:v>
      </x:c>
      <x:c r="E23" s="19" t="n">
        <x:v>0.8133</x:v>
      </x:c>
      <x:c r="F23" s="16" t="n">
        <x:v>14163.79</x:v>
      </x:c>
      <x:c r="G23" s="19" t="n">
        <x:v>0.014</x:v>
      </x:c>
      <x:c r="H23" s="19" t="n">
        <x:v>0.0124</x:v>
      </x:c>
      <x:c r="I23" s="16" t="n">
        <x:v>1898.37</x:v>
      </x:c>
      <x:c r="J23" s="141"/>
      <x:c r="K23" s="141"/>
      <x:c r="L23" s="141"/>
      <x:c r="M23" s="141"/>
      <x:c r="N23" s="141"/>
      <x:c r="O23" s="141"/>
      <x:c r="P23" s="141"/>
      <x:c r="Q23" s="141"/>
      <x:c r="R23" s="141"/>
      <x:c r="S23" s="141"/>
      <x:c r="T23" s="141"/>
      <x:c r="U23" s="141"/>
      <x:c r="V23" s="141"/>
      <x:c r="W23" s="141"/>
      <x:c r="X23" s="141"/>
      <x:c r="Y23" s="141"/>
      <x:c r="Z23" s="141"/>
      <x:c r="AA23" s="141"/>
      <x:c r="AB23" s="141"/>
      <x:c r="AC23" s="141"/>
      <x:c r="AD23" s="141"/>
      <x:c r="AE23" s="141"/>
    </x:row>
    <x:row r="24" ht="21" customHeight="1">
      <x:c r="A24" s="13" t="str">
        <x:v>Baskets</x:v>
      </x:c>
      <x:c r="B24" s="13" t="n">
        <x:v>80</x:v>
      </x:c>
      <x:c r="C24" s="16" t="n">
        <x:v>132848.01</x:v>
      </x:c>
      <x:c r="D24" s="19" t="n">
        <x:v>0.5198</x:v>
      </x:c>
      <x:c r="E24" s="19" t="n">
        <x:v>0.7767</x:v>
      </x:c>
      <x:c r="F24" s="16" t="n">
        <x:v>18505.45</x:v>
      </x:c>
      <x:c r="G24" s="19" t="n">
        <x:v>0.014</x:v>
      </x:c>
      <x:c r="H24" s="19" t="n">
        <x:v>0.0162</x:v>
      </x:c>
      <x:c r="I24" s="16" t="n">
        <x:v>1660.6</x:v>
      </x:c>
      <x:c r="J24" s="141"/>
      <x:c r="K24" s="141"/>
      <x:c r="L24" s="141"/>
      <x:c r="M24" s="141"/>
      <x:c r="N24" s="141"/>
      <x:c r="O24" s="141"/>
      <x:c r="P24" s="141"/>
      <x:c r="Q24" s="141"/>
      <x:c r="R24" s="141"/>
      <x:c r="S24" s="141"/>
      <x:c r="T24" s="141"/>
      <x:c r="U24" s="141"/>
      <x:c r="V24" s="141"/>
      <x:c r="W24" s="141"/>
      <x:c r="X24" s="141"/>
      <x:c r="Y24" s="141"/>
      <x:c r="Z24" s="141"/>
      <x:c r="AA24" s="141"/>
      <x:c r="AB24" s="141"/>
      <x:c r="AC24" s="141"/>
      <x:c r="AD24" s="141"/>
      <x:c r="AE24" s="141"/>
    </x:row>
    <x:row r="25" ht="21" customHeight="1">
      <x:c r="A25" s="13" t="str">
        <x:v>Utensils</x:v>
      </x:c>
      <x:c r="B25" s="13" t="n">
        <x:v>70</x:v>
      </x:c>
      <x:c r="C25" s="16" t="n">
        <x:v>123415.92</x:v>
      </x:c>
      <x:c r="D25" s="19" t="n">
        <x:v>0.5261</x:v>
      </x:c>
      <x:c r="E25" s="19" t="n">
        <x:v>0.8365</x:v>
      </x:c>
      <x:c r="F25" s="16" t="n">
        <x:v>11279.37</x:v>
      </x:c>
      <x:c r="G25" s="19" t="n">
        <x:v>0.013</x:v>
      </x:c>
      <x:c r="H25" s="19" t="n">
        <x:v>0.0099</x:v>
      </x:c>
      <x:c r="I25" s="16" t="n">
        <x:v>1763.08</x:v>
      </x:c>
      <x:c r="J25" s="141"/>
      <x:c r="K25" s="141"/>
      <x:c r="L25" s="141"/>
      <x:c r="M25" s="141"/>
      <x:c r="N25" s="141"/>
      <x:c r="O25" s="141"/>
      <x:c r="P25" s="141"/>
      <x:c r="Q25" s="141"/>
      <x:c r="R25" s="141"/>
      <x:c r="S25" s="141"/>
      <x:c r="T25" s="141"/>
      <x:c r="U25" s="141"/>
      <x:c r="V25" s="141"/>
      <x:c r="W25" s="141"/>
      <x:c r="X25" s="141"/>
      <x:c r="Y25" s="141"/>
      <x:c r="Z25" s="141"/>
      <x:c r="AA25" s="141"/>
      <x:c r="AB25" s="141"/>
      <x:c r="AC25" s="141"/>
      <x:c r="AD25" s="141"/>
      <x:c r="AE25" s="141"/>
    </x:row>
    <x:row r="26" ht="21" customHeight="1">
      <x:c r="A26" s="13" t="str">
        <x:v>Frames</x:v>
      </x:c>
      <x:c r="B26" s="13" t="n">
        <x:v>45</x:v>
      </x:c>
      <x:c r="C26" s="16" t="n">
        <x:v>87020.45</x:v>
      </x:c>
      <x:c r="D26" s="19" t="n">
        <x:v>0.518</x:v>
      </x:c>
      <x:c r="E26" s="19" t="n">
        <x:v>0.777</x:v>
      </x:c>
      <x:c r="F26" s="16" t="n">
        <x:v>11758</x:v>
      </x:c>
      <x:c r="G26" s="19" t="n">
        <x:v>0.0092</x:v>
      </x:c>
      <x:c r="H26" s="19" t="n">
        <x:v>0.0103</x:v>
      </x:c>
      <x:c r="I26" s="16" t="n">
        <x:v>1933.79</x:v>
      </x:c>
      <x:c r="J26" s="141"/>
      <x:c r="K26" s="141"/>
      <x:c r="L26" s="141"/>
      <x:c r="M26" s="141"/>
      <x:c r="N26" s="141"/>
      <x:c r="O26" s="141"/>
      <x:c r="P26" s="141"/>
      <x:c r="Q26" s="141"/>
      <x:c r="R26" s="141"/>
      <x:c r="S26" s="141"/>
      <x:c r="T26" s="141"/>
      <x:c r="U26" s="141"/>
      <x:c r="V26" s="141"/>
      <x:c r="W26" s="141"/>
      <x:c r="X26" s="141"/>
      <x:c r="Y26" s="141"/>
      <x:c r="Z26" s="141"/>
      <x:c r="AA26" s="141"/>
      <x:c r="AB26" s="141"/>
      <x:c r="AC26" s="141"/>
      <x:c r="AD26" s="141"/>
      <x:c r="AE26" s="141"/>
    </x:row>
    <x:row r="27" ht="21" customHeight="1">
      <x:c r="A27" s="13" t="str">
        <x:v>Winter Comfort</x:v>
      </x:c>
      <x:c r="B27" s="13" t="n">
        <x:v>35</x:v>
      </x:c>
      <x:c r="C27" s="16" t="n">
        <x:v>67704.29</x:v>
      </x:c>
      <x:c r="D27" s="19" t="n">
        <x:v>0.5222</x:v>
      </x:c>
      <x:c r="E27" s="19" t="n">
        <x:v>0.81</x:v>
      </x:c>
      <x:c r="F27" s="16" t="n">
        <x:v>7792.62</x:v>
      </x:c>
      <x:c r="G27" s="19" t="n">
        <x:v>0.0071</x:v>
      </x:c>
      <x:c r="H27" s="19" t="n">
        <x:v>0.0068</x:v>
      </x:c>
      <x:c r="I27" s="16" t="n">
        <x:v>1934.41</x:v>
      </x:c>
      <x:c r="J27" s="141"/>
      <x:c r="K27" s="141"/>
      <x:c r="L27" s="141"/>
      <x:c r="M27" s="141"/>
      <x:c r="N27" s="141"/>
      <x:c r="O27" s="141"/>
      <x:c r="P27" s="141"/>
      <x:c r="Q27" s="141"/>
      <x:c r="R27" s="141"/>
      <x:c r="S27" s="141"/>
      <x:c r="T27" s="141"/>
      <x:c r="U27" s="141"/>
      <x:c r="V27" s="141"/>
      <x:c r="W27" s="141"/>
      <x:c r="X27" s="141"/>
      <x:c r="Y27" s="141"/>
      <x:c r="Z27" s="141"/>
      <x:c r="AA27" s="141"/>
      <x:c r="AB27" s="141"/>
      <x:c r="AC27" s="141"/>
      <x:c r="AD27" s="141"/>
      <x:c r="AE27" s="141"/>
    </x:row>
    <x:row r="28" ht="21" customHeight="1">
      <x:c r="A28" s="13" t="str">
        <x:v>Christmas Decor</x:v>
      </x:c>
      <x:c r="B28" s="13" t="n">
        <x:v>65</x:v>
      </x:c>
      <x:c r="C28" s="16" t="n">
        <x:v>64494.17</x:v>
      </x:c>
      <x:c r="D28" s="19" t="n">
        <x:v>0.5408</x:v>
      </x:c>
      <x:c r="E28" s="19" t="n">
        <x:v>0.5912</x:v>
      </x:c>
      <x:c r="F28" s="16" t="n">
        <x:v>20587.14</x:v>
      </x:c>
      <x:c r="G28" s="19" t="n">
        <x:v>0.0068</x:v>
      </x:c>
      <x:c r="H28" s="19" t="n">
        <x:v>0.0181</x:v>
      </x:c>
      <x:c r="I28" s="16" t="n">
        <x:v>992.22</x:v>
      </x:c>
      <x:c r="J28" s="141"/>
      <x:c r="K28" s="141"/>
      <x:c r="L28" s="141"/>
      <x:c r="M28" s="141"/>
      <x:c r="N28" s="141"/>
      <x:c r="O28" s="141"/>
      <x:c r="P28" s="141"/>
      <x:c r="Q28" s="141"/>
      <x:c r="R28" s="141"/>
      <x:c r="S28" s="141"/>
      <x:c r="T28" s="141"/>
      <x:c r="U28" s="141"/>
      <x:c r="V28" s="141"/>
      <x:c r="W28" s="141"/>
      <x:c r="X28" s="141"/>
      <x:c r="Y28" s="141"/>
      <x:c r="Z28" s="141"/>
      <x:c r="AA28" s="141"/>
      <x:c r="AB28" s="141"/>
      <x:c r="AC28" s="141"/>
      <x:c r="AD28" s="141"/>
      <x:c r="AE28" s="141"/>
    </x:row>
    <x:row r="29" ht="21" customHeight="1">
      <x:c r="A29" s="14" t="str">
        <x:v>Halloween</x:v>
      </x:c>
      <x:c r="B29" s="14" t="n">
        <x:v>35</x:v>
      </x:c>
      <x:c r="C29" s="17" t="n">
        <x:v>11523.33</x:v>
      </x:c>
      <x:c r="D29" s="20" t="n">
        <x:v>0.5294</x:v>
      </x:c>
      <x:c r="E29" s="20" t="n">
        <x:v>0.5095</x:v>
      </x:c>
      <x:c r="F29" s="17" t="n">
        <x:v>5082.85</x:v>
      </x:c>
      <x:c r="G29" s="20" t="n">
        <x:v>0.0012</x:v>
      </x:c>
      <x:c r="H29" s="20" t="n">
        <x:v>0.0045</x:v>
      </x:c>
      <x:c r="I29" s="17" t="n">
        <x:v>329.24</x:v>
      </x:c>
      <x:c r="J29" s="141"/>
      <x:c r="K29" s="141"/>
      <x:c r="L29" s="141"/>
      <x:c r="M29" s="141"/>
      <x:c r="N29" s="141"/>
      <x:c r="O29" s="141"/>
      <x:c r="P29" s="141"/>
      <x:c r="Q29" s="141"/>
      <x:c r="R29" s="141"/>
      <x:c r="S29" s="141"/>
      <x:c r="T29" s="141"/>
      <x:c r="U29" s="141"/>
      <x:c r="V29" s="141"/>
      <x:c r="W29" s="141"/>
      <x:c r="X29" s="141"/>
      <x:c r="Y29" s="141"/>
      <x:c r="Z29" s="141"/>
      <x:c r="AA29" s="141"/>
      <x:c r="AB29" s="141"/>
      <x:c r="AC29" s="141"/>
      <x:c r="AD29" s="141"/>
      <x:c r="AE29" s="141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141"/>
      <x:c r="J30" s="141"/>
      <x:c r="K30" s="141"/>
      <x:c r="L30" s="141"/>
      <x:c r="M30" s="141"/>
      <x:c r="N30" s="141"/>
      <x:c r="O30" s="141"/>
      <x:c r="P30" s="141"/>
      <x:c r="Q30" s="141"/>
      <x:c r="R30" s="141"/>
      <x:c r="S30" s="141"/>
      <x:c r="T30" s="141"/>
      <x:c r="U30" s="141"/>
      <x:c r="V30" s="141"/>
      <x:c r="W30" s="141"/>
      <x:c r="X30" s="141"/>
      <x:c r="Y30" s="141"/>
      <x:c r="Z30" s="141"/>
      <x:c r="AA30" s="141"/>
      <x:c r="AB30" s="141"/>
      <x:c r="AC30" s="141"/>
      <x:c r="AD30" s="141"/>
      <x:c r="AE30" s="141"/>
    </x:row>
    <x:row r="31">
      <x:c r="A31" s="141"/>
      <x:c r="B31" s="141"/>
      <x:c r="C31" s="141"/>
      <x:c r="D31" s="141"/>
      <x:c r="E31" s="141"/>
      <x:c r="F31" s="141"/>
      <x:c r="G31" s="141"/>
      <x:c r="H31" s="141"/>
      <x:c r="I31" s="141"/>
      <x:c r="J31" s="141"/>
      <x:c r="K31" s="141"/>
      <x:c r="L31" s="141"/>
      <x:c r="M31" s="141"/>
      <x:c r="N31" s="141"/>
      <x:c r="O31" s="141"/>
      <x:c r="P31" s="141"/>
      <x:c r="Q31" s="141"/>
      <x:c r="R31" s="141"/>
      <x:c r="S31" s="141"/>
      <x:c r="T31" s="141"/>
      <x:c r="U31" s="141"/>
      <x:c r="V31" s="141"/>
      <x:c r="W31" s="141"/>
      <x:c r="X31" s="141"/>
      <x:c r="Y31" s="141"/>
      <x:c r="Z31" s="141"/>
      <x:c r="AA31" s="141"/>
      <x:c r="AB31" s="141"/>
      <x:c r="AC31" s="141"/>
      <x:c r="AD31" s="141"/>
      <x:c r="AE31" s="141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1"/>
      <x:c r="K32" s="141"/>
      <x:c r="L32" s="141"/>
      <x:c r="M32" s="141"/>
      <x:c r="N32" s="141"/>
      <x:c r="O32" s="141"/>
      <x:c r="P32" s="141"/>
      <x:c r="Q32" s="141"/>
      <x:c r="R32" s="141"/>
      <x:c r="S32" s="141"/>
      <x:c r="T32" s="141"/>
      <x:c r="U32" s="141"/>
      <x:c r="V32" s="141"/>
      <x:c r="W32" s="141"/>
      <x:c r="X32" s="141"/>
      <x:c r="Y32" s="141"/>
      <x:c r="Z32" s="141"/>
      <x:c r="AA32" s="141"/>
      <x:c r="AB32" s="141"/>
      <x:c r="AC32" s="141"/>
      <x:c r="AD32" s="141"/>
      <x:c r="AE32" s="141"/>
    </x:row>
    <x:row r="33">
      <x:c r="A33" s="141"/>
      <x:c r="B33" s="141"/>
      <x:c r="C33" s="141"/>
      <x:c r="D33" s="141"/>
      <x:c r="E33" s="141"/>
      <x:c r="F33" s="141"/>
      <x:c r="G33" s="141"/>
      <x:c r="H33" s="141"/>
      <x:c r="I33" s="141"/>
      <x:c r="J33" s="141"/>
      <x:c r="K33" s="141"/>
      <x:c r="L33" s="141"/>
      <x:c r="M33" s="141"/>
      <x:c r="N33" s="141"/>
      <x:c r="O33" s="141"/>
      <x:c r="P33" s="141"/>
      <x:c r="Q33" s="141"/>
      <x:c r="R33" s="141"/>
      <x:c r="S33" s="141"/>
      <x:c r="T33" s="141"/>
      <x:c r="U33" s="141"/>
      <x:c r="V33" s="141"/>
      <x:c r="W33" s="141"/>
      <x:c r="X33" s="141"/>
      <x:c r="Y33" s="141"/>
      <x:c r="Z33" s="141"/>
      <x:c r="AA33" s="141"/>
      <x:c r="AB33" s="141"/>
      <x:c r="AC33" s="141"/>
      <x:c r="AD33" s="141"/>
      <x:c r="AE33" s="141"/>
    </x:row>
    <x:row r="34" ht="24" customHeight="1">
      <x:c r="A34" s="6" t="str">
        <x:v>SKU</x:v>
      </x:c>
      <x:c r="B34" s="6" t="str">
        <x:v>Product</x:v>
      </x:c>
      <x:c r="C34" s="6" t="str">
        <x:v>Category</x:v>
      </x:c>
      <x:c r="D34" s="6" t="str">
        <x:v>Sales</x:v>
      </x:c>
      <x:c r="E34" s="6" t="str">
        <x:v>Margin</x:v>
      </x:c>
      <x:c r="F34" s="6" t="str">
        <x:v>Sell-Through</x:v>
      </x:c>
      <x:c r="G34" s="6" t="str">
        <x:v>WOS</x:v>
      </x:c>
      <x:c r="H34" s="6" t="str">
        <x:v>Inventory</x:v>
      </x:c>
      <x:c r="I34" s="6" t="str">
        <x:v>Action</x:v>
      </x:c>
      <x:c r="J34" s="6" t="str">
        <x:v>Price Band</x:v>
      </x:c>
      <x:c r="K34" s="6" t="str">
        <x:v>Rank</x:v>
      </x:c>
      <x:c r="L34" s="141"/>
      <x:c r="M34" s="6" t="str">
        <x:v>Vendor ID</x:v>
      </x:c>
      <x:c r="N34" s="6" t="str">
        <x:v>Vendor</x:v>
      </x:c>
      <x:c r="O34" s="6" t="str">
        <x:v>Sales</x:v>
      </x:c>
      <x:c r="P34" s="6" t="str">
        <x:v>Margin</x:v>
      </x:c>
      <x:c r="Q34" s="6" t="str">
        <x:v>Sell-Through</x:v>
      </x:c>
      <x:c r="R34" s="6" t="str">
        <x:v>On Time</x:v>
      </x:c>
      <x:c r="S34" s="6" t="str">
        <x:v>Lead Time</x:v>
      </x:c>
      <x:c r="T34" s="6" t="str">
        <x:v>Defect Rate</x:v>
      </x:c>
      <x:c r="U34" s="6" t="str">
        <x:v>Score</x:v>
      </x:c>
      <x:c r="V34" s="141"/>
      <x:c r="W34" s="141"/>
      <x:c r="X34" s="141"/>
      <x:c r="Y34" s="141"/>
      <x:c r="Z34" s="141"/>
      <x:c r="AA34" s="141"/>
      <x:c r="AB34" s="141"/>
      <x:c r="AC34" s="141"/>
      <x:c r="AD34" s="141"/>
      <x:c r="AE34" s="141"/>
    </x:row>
    <x:row r="35" ht="21" customHeight="1">
      <x:c r="A35" s="12" t="str">
        <x:v>TAB0786</x:v>
      </x:c>
      <x:c r="B35" s="12" t="str">
        <x:v>Cove Linen Vessel</x:v>
      </x:c>
      <x:c r="C35" s="12" t="str">
        <x:v>Tables</x:v>
      </x:c>
      <x:c r="D35" s="15" t="n">
        <x:v>17432.94</x:v>
      </x:c>
      <x:c r="E35" s="18" t="n">
        <x:v>0.5338</x:v>
      </x:c>
      <x:c r="F35" s="18" t="n">
        <x:v>0.9167</x:v>
      </x:c>
      <x:c r="G35" s="21" t="n">
        <x:v>2.9</x:v>
      </x:c>
      <x:c r="H35" s="15" t="n">
        <x:v>738.9</x:v>
      </x:c>
      <x:c r="I35" s="12" t="str">
        <x:v>REORDER</x:v>
      </x:c>
      <x:c r="J35" s="12" t="str">
        <x:v>Best</x:v>
      </x:c>
      <x:c r="K35" s="12" t="n">
        <x:v>1</x:v>
      </x:c>
      <x:c r="L35" s="141"/>
      <x:c r="M35" s="12" t="str">
        <x:v>V001</x:v>
      </x:c>
      <x:c r="N35" s="12" t="str">
        <x:v>Maison Source Co.</x:v>
      </x:c>
      <x:c r="O35" s="15" t="n">
        <x:v>504687.66</x:v>
      </x:c>
      <x:c r="P35" s="18" t="n">
        <x:v>0.5307</x:v>
      </x:c>
      <x:c r="Q35" s="18" t="n">
        <x:v>0.8132</x:v>
      </x:c>
      <x:c r="R35" s="18" t="n">
        <x:v>0.98</x:v>
      </x:c>
      <x:c r="S35" s="12" t="n">
        <x:v>31</x:v>
      </x:c>
      <x:c r="T35" s="18" t="n">
        <x:v>0.01</x:v>
      </x:c>
      <x:c r="U35" s="12" t="n">
        <x:v>97</x:v>
      </x:c>
      <x:c r="V35" s="141"/>
      <x:c r="W35" s="141"/>
      <x:c r="X35" s="141"/>
      <x:c r="Y35" s="141"/>
      <x:c r="Z35" s="141"/>
      <x:c r="AA35" s="141"/>
      <x:c r="AB35" s="141"/>
      <x:c r="AC35" s="141"/>
      <x:c r="AD35" s="141"/>
      <x:c r="AE35" s="141"/>
    </x:row>
    <x:row r="36" ht="21" customHeight="1">
      <x:c r="A36" s="13" t="str">
        <x:v>FLR1857</x:v>
      </x:c>
      <x:c r="B36" s="13" t="str">
        <x:v>Vale Oak Form</x:v>
      </x:c>
      <x:c r="C36" s="13" t="str">
        <x:v>Floor Lamps</x:v>
      </x:c>
      <x:c r="D36" s="16" t="n">
        <x:v>16904.5</x:v>
      </x:c>
      <x:c r="E36" s="19" t="n">
        <x:v>0.4965</x:v>
      </x:c>
      <x:c r="F36" s="19" t="n">
        <x:v>0.9194</x:v>
      </x:c>
      <x:c r="G36" s="22" t="n">
        <x:v>2.8</x:v>
      </x:c>
      <x:c r="H36" s="16" t="n">
        <x:v>746.65</x:v>
      </x:c>
      <x:c r="I36" s="13" t="str">
        <x:v>REORDER</x:v>
      </x:c>
      <x:c r="J36" s="13" t="str">
        <x:v>Best</x:v>
      </x:c>
      <x:c r="K36" s="13" t="n">
        <x:v>2</x:v>
      </x:c>
      <x:c r="L36" s="141"/>
      <x:c r="M36" s="13" t="str">
        <x:v>V008</x:v>
      </x:c>
      <x:c r="N36" s="13" t="str">
        <x:v>Calder &amp; Finch</x:v>
      </x:c>
      <x:c r="O36" s="16" t="n">
        <x:v>435353.93</x:v>
      </x:c>
      <x:c r="P36" s="19" t="n">
        <x:v>0.527</x:v>
      </x:c>
      <x:c r="Q36" s="19" t="n">
        <x:v>0.7954</x:v>
      </x:c>
      <x:c r="R36" s="19" t="n">
        <x:v>0.98</x:v>
      </x:c>
      <x:c r="S36" s="13" t="n">
        <x:v>43</x:v>
      </x:c>
      <x:c r="T36" s="19" t="n">
        <x:v>0.011</x:v>
      </x:c>
      <x:c r="U36" s="13" t="n">
        <x:v>96</x:v>
      </x:c>
      <x:c r="V36" s="141"/>
      <x:c r="W36" s="141"/>
      <x:c r="X36" s="141"/>
      <x:c r="Y36" s="141"/>
      <x:c r="Z36" s="141"/>
      <x:c r="AA36" s="141"/>
      <x:c r="AB36" s="141"/>
      <x:c r="AC36" s="141"/>
      <x:c r="AD36" s="141"/>
      <x:c r="AE36" s="141"/>
    </x:row>
    <x:row r="37" ht="21" customHeight="1">
      <x:c r="A37" s="13" t="str">
        <x:v>FLR1859</x:v>
      </x:c>
      <x:c r="B37" s="13" t="str">
        <x:v>Sable Oak Atelier</x:v>
      </x:c>
      <x:c r="C37" s="13" t="str">
        <x:v>Floor Lamps</x:v>
      </x:c>
      <x:c r="D37" s="16" t="n">
        <x:v>15128.72</x:v>
      </x:c>
      <x:c r="E37" s="19" t="n">
        <x:v>0.5681</x:v>
      </x:c>
      <x:c r="F37" s="19" t="n">
        <x:v>0.9219</x:v>
      </x:c>
      <x:c r="G37" s="22" t="n">
        <x:v>2.7</x:v>
      </x:c>
      <x:c r="H37" s="16" t="n">
        <x:v>553.8</x:v>
      </x:c>
      <x:c r="I37" s="13" t="str">
        <x:v>REORDER</x:v>
      </x:c>
      <x:c r="J37" s="13" t="str">
        <x:v>Best</x:v>
      </x:c>
      <x:c r="K37" s="13" t="n">
        <x:v>3</x:v>
      </x:c>
      <x:c r="L37" s="141"/>
      <x:c r="M37" s="13" t="str">
        <x:v>V010</x:v>
      </x:c>
      <x:c r="N37" s="13" t="str">
        <x:v>Forma Studio</x:v>
      </x:c>
      <x:c r="O37" s="16" t="n">
        <x:v>577607.94</x:v>
      </x:c>
      <x:c r="P37" s="19" t="n">
        <x:v>0.52</x:v>
      </x:c>
      <x:c r="Q37" s="19" t="n">
        <x:v>0.8065</x:v>
      </x:c>
      <x:c r="R37" s="19" t="n">
        <x:v>0.98</x:v>
      </x:c>
      <x:c r="S37" s="13" t="n">
        <x:v>52</x:v>
      </x:c>
      <x:c r="T37" s="19" t="n">
        <x:v>0.017</x:v>
      </x:c>
      <x:c r="U37" s="13" t="n">
        <x:v>95</x:v>
      </x:c>
      <x:c r="V37" s="141"/>
      <x:c r="W37" s="141"/>
      <x:c r="X37" s="141"/>
      <x:c r="Y37" s="141"/>
      <x:c r="Z37" s="141"/>
      <x:c r="AA37" s="141"/>
      <x:c r="AB37" s="141"/>
      <x:c r="AC37" s="141"/>
      <x:c r="AD37" s="141"/>
      <x:c r="AE37" s="141"/>
    </x:row>
    <x:row r="38" ht="21" customHeight="1">
      <x:c r="A38" s="13" t="str">
        <x:v>LGT1803</x:v>
      </x:c>
      <x:c r="B38" s="13" t="str">
        <x:v>Harbour Marble Vessel</x:v>
      </x:c>
      <x:c r="C38" s="13" t="str">
        <x:v>Table Lamps</x:v>
      </x:c>
      <x:c r="D38" s="16" t="n">
        <x:v>14180.85</x:v>
      </x:c>
      <x:c r="E38" s="19" t="n">
        <x:v>0.4787</x:v>
      </x:c>
      <x:c r="F38" s="19" t="n">
        <x:v>0.9211</x:v>
      </x:c>
      <x:c r="G38" s="22" t="n">
        <x:v>2.7</x:v>
      </x:c>
      <x:c r="H38" s="16" t="n">
        <x:v>633.66</x:v>
      </x:c>
      <x:c r="I38" s="13" t="str">
        <x:v>REORDER</x:v>
      </x:c>
      <x:c r="J38" s="13" t="str">
        <x:v>Best</x:v>
      </x:c>
      <x:c r="K38" s="13" t="n">
        <x:v>4</x:v>
      </x:c>
      <x:c r="L38" s="141"/>
      <x:c r="M38" s="13" t="str">
        <x:v>V009</x:v>
      </x:c>
      <x:c r="N38" s="13" t="str">
        <x:v>Hearthwell</x:v>
      </x:c>
      <x:c r="O38" s="16" t="n">
        <x:v>549424.2</x:v>
      </x:c>
      <x:c r="P38" s="19" t="n">
        <x:v>0.5228</x:v>
      </x:c>
      <x:c r="Q38" s="19" t="n">
        <x:v>0.8046</x:v>
      </x:c>
      <x:c r="R38" s="19" t="n">
        <x:v>0.893</x:v>
      </x:c>
      <x:c r="S38" s="13" t="n">
        <x:v>48</x:v>
      </x:c>
      <x:c r="T38" s="19" t="n">
        <x:v>0.006</x:v>
      </x:c>
      <x:c r="U38" s="13" t="n">
        <x:v>94</x:v>
      </x:c>
      <x:c r="V38" s="141"/>
      <x:c r="W38" s="141"/>
      <x:c r="X38" s="141"/>
      <x:c r="Y38" s="141"/>
      <x:c r="Z38" s="141"/>
      <x:c r="AA38" s="141"/>
      <x:c r="AB38" s="141"/>
      <x:c r="AC38" s="141"/>
      <x:c r="AD38" s="141"/>
      <x:c r="AE38" s="141"/>
    </x:row>
    <x:row r="39" ht="21" customHeight="1">
      <x:c r="A39" s="13" t="str">
        <x:v>FUR0635</x:v>
      </x:c>
      <x:c r="B39" s="13" t="str">
        <x:v>Luna Cotton Vessel</x:v>
      </x:c>
      <x:c r="C39" s="13" t="str">
        <x:v>Accent Furniture</x:v>
      </x:c>
      <x:c r="D39" s="16" t="n">
        <x:v>13534.74</x:v>
      </x:c>
      <x:c r="E39" s="19" t="n">
        <x:v>0.5348</x:v>
      </x:c>
      <x:c r="F39" s="19" t="n">
        <x:v>0.963</x:v>
      </x:c>
      <x:c r="G39" s="22" t="n">
        <x:v>1.2</x:v>
      </x:c>
      <x:c r="H39" s="16" t="n">
        <x:v>242.18</x:v>
      </x:c>
      <x:c r="I39" s="13" t="str">
        <x:v>REORDER</x:v>
      </x:c>
      <x:c r="J39" s="13" t="str">
        <x:v>Best</x:v>
      </x:c>
      <x:c r="K39" s="13" t="n">
        <x:v>5</x:v>
      </x:c>
      <x:c r="L39" s="141"/>
      <x:c r="M39" s="13" t="str">
        <x:v>V019</x:v>
      </x:c>
      <x:c r="N39" s="13" t="str">
        <x:v>Arc &amp; Ash</x:v>
      </x:c>
      <x:c r="O39" s="16" t="n">
        <x:v>439062.95</x:v>
      </x:c>
      <x:c r="P39" s="19" t="n">
        <x:v>0.5273</x:v>
      </x:c>
      <x:c r="Q39" s="19" t="n">
        <x:v>0.808</x:v>
      </x:c>
      <x:c r="R39" s="19" t="n">
        <x:v>0.871</x:v>
      </x:c>
      <x:c r="S39" s="13" t="n">
        <x:v>35</x:v>
      </x:c>
      <x:c r="T39" s="19" t="n">
        <x:v>0.008</x:v>
      </x:c>
      <x:c r="U39" s="13" t="n">
        <x:v>93</x:v>
      </x:c>
      <x:c r="V39" s="141"/>
      <x:c r="W39" s="141"/>
      <x:c r="X39" s="141"/>
      <x:c r="Y39" s="141"/>
      <x:c r="Z39" s="141"/>
      <x:c r="AA39" s="141"/>
      <x:c r="AB39" s="141"/>
      <x:c r="AC39" s="141"/>
      <x:c r="AD39" s="141"/>
      <x:c r="AE39" s="141"/>
    </x:row>
    <x:row r="40" ht="21" customHeight="1">
      <x:c r="A40" s="13" t="str">
        <x:v>FUR0621</x:v>
      </x:c>
      <x:c r="B40" s="13" t="str">
        <x:v>Sable Brass Line</x:v>
      </x:c>
      <x:c r="C40" s="13" t="str">
        <x:v>Accent Furniture</x:v>
      </x:c>
      <x:c r="D40" s="16" t="n">
        <x:v>7424.1</x:v>
      </x:c>
      <x:c r="E40" s="19" t="n">
        <x:v>0.5077</x:v>
      </x:c>
      <x:c r="F40" s="19" t="n">
        <x:v>0.9375</x:v>
      </x:c>
      <x:c r="G40" s="22" t="n">
        <x:v>2.1</x:v>
      </x:c>
      <x:c r="H40" s="16" t="n">
        <x:v>243.66</x:v>
      </x:c>
      <x:c r="I40" s="13" t="str">
        <x:v>REORDER</x:v>
      </x:c>
      <x:c r="J40" s="13" t="str">
        <x:v>Best</x:v>
      </x:c>
      <x:c r="K40" s="13" t="n">
        <x:v>6</x:v>
      </x:c>
      <x:c r="L40" s="141"/>
      <x:c r="M40" s="13" t="str">
        <x:v>V013</x:v>
      </x:c>
      <x:c r="N40" s="13" t="str">
        <x:v>Vale &amp; Loom</x:v>
      </x:c>
      <x:c r="O40" s="16" t="n">
        <x:v>543559.02</x:v>
      </x:c>
      <x:c r="P40" s="19" t="n">
        <x:v>0.5169</x:v>
      </x:c>
      <x:c r="Q40" s="19" t="n">
        <x:v>0.8036</x:v>
      </x:c>
      <x:c r="R40" s="19" t="n">
        <x:v>0.98</x:v>
      </x:c>
      <x:c r="S40" s="13" t="n">
        <x:v>23</x:v>
      </x:c>
      <x:c r="T40" s="19" t="n">
        <x:v>0.035</x:v>
      </x:c>
      <x:c r="U40" s="13" t="n">
        <x:v>93</x:v>
      </x:c>
      <x:c r="V40" s="141"/>
      <x:c r="W40" s="141"/>
      <x:c r="X40" s="141"/>
      <x:c r="Y40" s="141"/>
      <x:c r="Z40" s="141"/>
      <x:c r="AA40" s="141"/>
      <x:c r="AB40" s="141"/>
      <x:c r="AC40" s="141"/>
      <x:c r="AD40" s="141"/>
      <x:c r="AE40" s="141"/>
    </x:row>
    <x:row r="41" ht="21" customHeight="1">
      <x:c r="A41" s="13" t="str">
        <x:v>KIT0891</x:v>
      </x:c>
      <x:c r="B41" s="13" t="str">
        <x:v>Cove Oak Object</x:v>
      </x:c>
      <x:c r="C41" s="13" t="str">
        <x:v>Cookware</x:v>
      </x:c>
      <x:c r="D41" s="16" t="n">
        <x:v>6594.51</x:v>
      </x:c>
      <x:c r="E41" s="19" t="n">
        <x:v>0.5896</x:v>
      </x:c>
      <x:c r="F41" s="19" t="n">
        <x:v>0.918</x:v>
      </x:c>
      <x:c r="G41" s="22" t="n">
        <x:v>2.8</x:v>
      </x:c>
      <x:c r="H41" s="16" t="n">
        <x:v>241.65</x:v>
      </x:c>
      <x:c r="I41" s="13" t="str">
        <x:v>REORDER</x:v>
      </x:c>
      <x:c r="J41" s="13" t="str">
        <x:v>Best</x:v>
      </x:c>
      <x:c r="K41" s="13" t="n">
        <x:v>7</x:v>
      </x:c>
      <x:c r="L41" s="141"/>
      <x:c r="M41" s="13" t="str">
        <x:v>V012</x:v>
      </x:c>
      <x:c r="N41" s="13" t="str">
        <x:v>Juniper Supply</x:v>
      </x:c>
      <x:c r="O41" s="16" t="n">
        <x:v>438153.2</x:v>
      </x:c>
      <x:c r="P41" s="19" t="n">
        <x:v>0.5138</x:v>
      </x:c>
      <x:c r="Q41" s="19" t="n">
        <x:v>0.7984</x:v>
      </x:c>
      <x:c r="R41" s="19" t="n">
        <x:v>0.899</x:v>
      </x:c>
      <x:c r="S41" s="13" t="n">
        <x:v>26</x:v>
      </x:c>
      <x:c r="T41" s="19" t="n">
        <x:v>0.02</x:v>
      </x:c>
      <x:c r="U41" s="13" t="n">
        <x:v>92</x:v>
      </x:c>
      <x:c r="V41" s="141"/>
      <x:c r="W41" s="141"/>
      <x:c r="X41" s="141"/>
      <x:c r="Y41" s="141"/>
      <x:c r="Z41" s="141"/>
      <x:c r="AA41" s="141"/>
      <x:c r="AB41" s="141"/>
      <x:c r="AC41" s="141"/>
      <x:c r="AD41" s="141"/>
      <x:c r="AE41" s="141"/>
    </x:row>
    <x:row r="42" ht="21" customHeight="1">
      <x:c r="A42" s="13" t="str">
        <x:v>MIR0377</x:v>
      </x:c>
      <x:c r="B42" s="13" t="str">
        <x:v>Arc Oak Atelier</x:v>
      </x:c>
      <x:c r="C42" s="13" t="str">
        <x:v>Mirrors</x:v>
      </x:c>
      <x:c r="D42" s="16" t="n">
        <x:v>6234.26</x:v>
      </x:c>
      <x:c r="E42" s="19" t="n">
        <x:v>0.5044</x:v>
      </x:c>
      <x:c r="F42" s="19" t="n">
        <x:v>0.9211</x:v>
      </x:c>
      <x:c r="G42" s="22" t="n">
        <x:v>2.7</x:v>
      </x:c>
      <x:c r="H42" s="16" t="n">
        <x:v>264.84</x:v>
      </x:c>
      <x:c r="I42" s="13" t="str">
        <x:v>REORDER</x:v>
      </x:c>
      <x:c r="J42" s="13" t="str">
        <x:v>Best</x:v>
      </x:c>
      <x:c r="K42" s="13" t="n">
        <x:v>8</x:v>
      </x:c>
      <x:c r="L42" s="141"/>
      <x:c r="M42" s="13" t="str">
        <x:v>V018</x:v>
      </x:c>
      <x:c r="N42" s="13" t="str">
        <x:v>Vela Home</x:v>
      </x:c>
      <x:c r="O42" s="16" t="n">
        <x:v>430524.2</x:v>
      </x:c>
      <x:c r="P42" s="19" t="n">
        <x:v>0.5163</x:v>
      </x:c>
      <x:c r="Q42" s="19" t="n">
        <x:v>0.8049</x:v>
      </x:c>
      <x:c r="R42" s="19" t="n">
        <x:v>0.888</x:v>
      </x:c>
      <x:c r="S42" s="13" t="n">
        <x:v>15</x:v>
      </x:c>
      <x:c r="T42" s="19" t="n">
        <x:v>0.018</x:v>
      </x:c>
      <x:c r="U42" s="13" t="n">
        <x:v>92</x:v>
      </x:c>
      <x:c r="V42" s="141"/>
      <x:c r="W42" s="141"/>
      <x:c r="X42" s="141"/>
      <x:c r="Y42" s="141"/>
      <x:c r="Z42" s="141"/>
      <x:c r="AA42" s="141"/>
      <x:c r="AB42" s="141"/>
      <x:c r="AC42" s="141"/>
      <x:c r="AD42" s="141"/>
      <x:c r="AE42" s="141"/>
    </x:row>
    <x:row r="43" ht="21" customHeight="1">
      <x:c r="A43" s="13" t="str">
        <x:v>LGT1795</x:v>
      </x:c>
      <x:c r="B43" s="13" t="str">
        <x:v>Harbour Cotton House</x:v>
      </x:c>
      <x:c r="C43" s="13" t="str">
        <x:v>Table Lamps</x:v>
      </x:c>
      <x:c r="D43" s="16" t="n">
        <x:v>5777.17</x:v>
      </x:c>
      <x:c r="E43" s="19" t="n">
        <x:v>0.4531</x:v>
      </x:c>
      <x:c r="F43" s="19" t="n">
        <x:v>0.9149</x:v>
      </x:c>
      <x:c r="G43" s="22" t="n">
        <x:v>3</x:v>
      </x:c>
      <x:c r="H43" s="16" t="n">
        <x:v>293.92</x:v>
      </x:c>
      <x:c r="I43" s="13" t="str">
        <x:v>REORDER</x:v>
      </x:c>
      <x:c r="J43" s="13" t="str">
        <x:v>Best</x:v>
      </x:c>
      <x:c r="K43" s="13" t="n">
        <x:v>9</x:v>
      </x:c>
      <x:c r="L43" s="141"/>
      <x:c r="M43" s="13" t="str">
        <x:v>V014</x:v>
      </x:c>
      <x:c r="N43" s="13" t="str">
        <x:v>Cove Trading</x:v>
      </x:c>
      <x:c r="O43" s="16" t="n">
        <x:v>365679.58</x:v>
      </x:c>
      <x:c r="P43" s="19" t="n">
        <x:v>0.5186</x:v>
      </x:c>
      <x:c r="Q43" s="19" t="n">
        <x:v>0.7967</x:v>
      </x:c>
      <x:c r="R43" s="19" t="n">
        <x:v>0.91</x:v>
      </x:c>
      <x:c r="S43" s="13" t="n">
        <x:v>41</x:v>
      </x:c>
      <x:c r="T43" s="19" t="n">
        <x:v>0.03</x:v>
      </x:c>
      <x:c r="U43" s="13" t="n">
        <x:v>91</x:v>
      </x:c>
      <x:c r="V43" s="141"/>
      <x:c r="W43" s="141"/>
      <x:c r="X43" s="141"/>
      <x:c r="Y43" s="141"/>
      <x:c r="Z43" s="141"/>
      <x:c r="AA43" s="141"/>
      <x:c r="AB43" s="141"/>
      <x:c r="AC43" s="141"/>
      <x:c r="AD43" s="141"/>
      <x:c r="AE43" s="141"/>
    </x:row>
    <x:row r="44" ht="21" customHeight="1">
      <x:c r="A44" s="13" t="str">
        <x:v>SEA0703</x:v>
      </x:c>
      <x:c r="B44" s="13" t="str">
        <x:v>Harbour Rattan Line</x:v>
      </x:c>
      <x:c r="C44" s="13" t="str">
        <x:v>Seating</x:v>
      </x:c>
      <x:c r="D44" s="16" t="n">
        <x:v>5673.91</x:v>
      </x:c>
      <x:c r="E44" s="19" t="n">
        <x:v>0.4658</x:v>
      </x:c>
      <x:c r="F44" s="19" t="n">
        <x:v>0.9412</x:v>
      </x:c>
      <x:c r="G44" s="22" t="n">
        <x:v>2</x:v>
      </x:c>
      <x:c r="H44" s="16" t="n">
        <x:v>189.44</x:v>
      </x:c>
      <x:c r="I44" s="13" t="str">
        <x:v>REORDER</x:v>
      </x:c>
      <x:c r="J44" s="13" t="str">
        <x:v>Best</x:v>
      </x:c>
      <x:c r="K44" s="13" t="n">
        <x:v>10</x:v>
      </x:c>
      <x:c r="L44" s="141"/>
      <x:c r="M44" s="13" t="str">
        <x:v>V005</x:v>
      </x:c>
      <x:c r="N44" s="13" t="str">
        <x:v>Cedarline Goods</x:v>
      </x:c>
      <x:c r="O44" s="16" t="n">
        <x:v>563381.59</x:v>
      </x:c>
      <x:c r="P44" s="19" t="n">
        <x:v>0.5047</x:v>
      </x:c>
      <x:c r="Q44" s="19" t="n">
        <x:v>0.7984</x:v>
      </x:c>
      <x:c r="R44" s="19" t="n">
        <x:v>0.874</x:v>
      </x:c>
      <x:c r="S44" s="13" t="n">
        <x:v>41</x:v>
      </x:c>
      <x:c r="T44" s="19" t="n">
        <x:v>0.015</x:v>
      </x:c>
      <x:c r="U44" s="13" t="n">
        <x:v>91</x:v>
      </x:c>
      <x:c r="V44" s="141"/>
      <x:c r="W44" s="141"/>
      <x:c r="X44" s="141"/>
      <x:c r="Y44" s="141"/>
      <x:c r="Z44" s="141"/>
      <x:c r="AA44" s="141"/>
      <x:c r="AB44" s="141"/>
      <x:c r="AC44" s="141"/>
      <x:c r="AD44" s="141"/>
      <x:c r="AE44" s="141"/>
    </x:row>
    <x:row r="45" ht="21" customHeight="1">
      <x:c r="A45" s="13" t="str">
        <x:v>SHL1699</x:v>
      </x:c>
      <x:c r="B45" s="13" t="str">
        <x:v>Ridge Wool Line</x:v>
      </x:c>
      <x:c r="C45" s="13" t="str">
        <x:v>Shelving</x:v>
      </x:c>
      <x:c r="D45" s="16" t="n">
        <x:v>5256.11</x:v>
      </x:c>
      <x:c r="E45" s="19" t="n">
        <x:v>0.4731</x:v>
      </x:c>
      <x:c r="F45" s="19" t="n">
        <x:v>0.9286</x:v>
      </x:c>
      <x:c r="G45" s="22" t="n">
        <x:v>2.5</x:v>
      </x:c>
      <x:c r="H45" s="16" t="n">
        <x:v>213.05</x:v>
      </x:c>
      <x:c r="I45" s="13" t="str">
        <x:v>REORDER</x:v>
      </x:c>
      <x:c r="J45" s="13" t="str">
        <x:v>Best</x:v>
      </x:c>
      <x:c r="K45" s="13" t="n">
        <x:v>11</x:v>
      </x:c>
      <x:c r="L45" s="141"/>
      <x:c r="M45" s="13" t="str">
        <x:v>V006</x:v>
      </x:c>
      <x:c r="N45" s="13" t="str">
        <x:v>Aster Living</x:v>
      </x:c>
      <x:c r="O45" s="16" t="n">
        <x:v>439428.66</x:v>
      </x:c>
      <x:c r="P45" s="19" t="n">
        <x:v>0.5174</x:v>
      </x:c>
      <x:c r="Q45" s="19" t="n">
        <x:v>0.8175</x:v>
      </x:c>
      <x:c r="R45" s="19" t="n">
        <x:v>0.955</x:v>
      </x:c>
      <x:c r="S45" s="13" t="n">
        <x:v>36</x:v>
      </x:c>
      <x:c r="T45" s="19" t="n">
        <x:v>0.041</x:v>
      </x:c>
      <x:c r="U45" s="13" t="n">
        <x:v>91</x:v>
      </x:c>
      <x:c r="V45" s="141"/>
      <x:c r="W45" s="141"/>
      <x:c r="X45" s="141"/>
      <x:c r="Y45" s="141"/>
      <x:c r="Z45" s="141"/>
      <x:c r="AA45" s="141"/>
      <x:c r="AB45" s="141"/>
      <x:c r="AC45" s="141"/>
      <x:c r="AD45" s="141"/>
      <x:c r="AE45" s="141"/>
    </x:row>
    <x:row r="46" ht="21" customHeight="1">
      <x:c r="A46" s="13" t="str">
        <x:v>DUV1220</x:v>
      </x:c>
      <x:c r="B46" s="13" t="str">
        <x:v>Mira Ceramic Studio</x:v>
      </x:c>
      <x:c r="C46" s="13" t="str">
        <x:v>Duvets</x:v>
      </x:c>
      <x:c r="D46" s="16" t="n">
        <x:v>5135.44</x:v>
      </x:c>
      <x:c r="E46" s="19" t="n">
        <x:v>0.568</x:v>
      </x:c>
      <x:c r="F46" s="19" t="n">
        <x:v>1</x:v>
      </x:c>
      <x:c r="G46" s="22" t="n">
        <x:v>0</x:v>
      </x:c>
      <x:c r="H46" s="16" t="n">
        <x:v>0</x:v>
      </x:c>
      <x:c r="I46" s="13" t="str">
        <x:v>REORDER</x:v>
      </x:c>
      <x:c r="J46" s="13" t="str">
        <x:v>Best</x:v>
      </x:c>
      <x:c r="K46" s="13" t="n">
        <x:v>12</x:v>
      </x:c>
      <x:c r="L46" s="141"/>
      <x:c r="M46" s="13" t="str">
        <x:v>V002</x:v>
      </x:c>
      <x:c r="N46" s="13" t="str">
        <x:v>Atelier North</x:v>
      </x:c>
      <x:c r="O46" s="16" t="n">
        <x:v>408548.06</x:v>
      </x:c>
      <x:c r="P46" s="19" t="n">
        <x:v>0.5237</x:v>
      </x:c>
      <x:c r="Q46" s="19" t="n">
        <x:v>0.7972</x:v>
      </x:c>
      <x:c r="R46" s="19" t="n">
        <x:v>0.853</x:v>
      </x:c>
      <x:c r="S46" s="13" t="n">
        <x:v>35</x:v>
      </x:c>
      <x:c r="T46" s="19" t="n">
        <x:v>0.029</x:v>
      </x:c>
      <x:c r="U46" s="13" t="n">
        <x:v>90</x:v>
      </x:c>
      <x:c r="V46" s="141"/>
      <x:c r="W46" s="141"/>
      <x:c r="X46" s="141"/>
      <x:c r="Y46" s="141"/>
      <x:c r="Z46" s="141"/>
      <x:c r="AA46" s="141"/>
      <x:c r="AB46" s="141"/>
      <x:c r="AC46" s="141"/>
      <x:c r="AD46" s="141"/>
      <x:c r="AE46" s="141"/>
    </x:row>
    <x:row r="47" ht="21" customHeight="1">
      <x:c r="A47" s="13" t="str">
        <x:v>LGT1787</x:v>
      </x:c>
      <x:c r="B47" s="13" t="str">
        <x:v>Mira Cotton Atelier</x:v>
      </x:c>
      <x:c r="C47" s="13" t="str">
        <x:v>Table Lamps</x:v>
      </x:c>
      <x:c r="D47" s="16" t="n">
        <x:v>4813.64</x:v>
      </x:c>
      <x:c r="E47" s="19" t="n">
        <x:v>0.5724</x:v>
      </x:c>
      <x:c r="F47" s="19" t="n">
        <x:v>0.9322</x:v>
      </x:c>
      <x:c r="G47" s="22" t="n">
        <x:v>2.3</x:v>
      </x:c>
      <x:c r="H47" s="16" t="n">
        <x:v>149.68</x:v>
      </x:c>
      <x:c r="I47" s="13" t="str">
        <x:v>REORDER</x:v>
      </x:c>
      <x:c r="J47" s="13" t="str">
        <x:v>Best</x:v>
      </x:c>
      <x:c r="K47" s="13" t="n">
        <x:v>13</x:v>
      </x:c>
      <x:c r="L47" s="141"/>
      <x:c r="M47" s="13" t="str">
        <x:v>V004</x:v>
      </x:c>
      <x:c r="N47" s="13" t="str">
        <x:v>Stone &amp; Stem</x:v>
      </x:c>
      <x:c r="O47" s="16" t="n">
        <x:v>557434.69</x:v>
      </x:c>
      <x:c r="P47" s="19" t="n">
        <x:v>0.5194</x:v>
      </x:c>
      <x:c r="Q47" s="19" t="n">
        <x:v>0.807</x:v>
      </x:c>
      <x:c r="R47" s="19" t="n">
        <x:v>0.879</x:v>
      </x:c>
      <x:c r="S47" s="13" t="n">
        <x:v>18</x:v>
      </x:c>
      <x:c r="T47" s="19" t="n">
        <x:v>0.035</x:v>
      </x:c>
      <x:c r="U47" s="13" t="n">
        <x:v>90</x:v>
      </x:c>
      <x:c r="V47" s="141"/>
      <x:c r="W47" s="141"/>
      <x:c r="X47" s="141"/>
      <x:c r="Y47" s="141"/>
      <x:c r="Z47" s="141"/>
      <x:c r="AA47" s="141"/>
      <x:c r="AB47" s="141"/>
      <x:c r="AC47" s="141"/>
      <x:c r="AD47" s="141"/>
      <x:c r="AE47" s="141"/>
    </x:row>
    <x:row r="48" ht="21" customHeight="1">
      <x:c r="A48" s="13" t="str">
        <x:v>FUR0654</x:v>
      </x:c>
      <x:c r="B48" s="13" t="str">
        <x:v>Avery Rattan Edit</x:v>
      </x:c>
      <x:c r="C48" s="13" t="str">
        <x:v>Accent Furniture</x:v>
      </x:c>
      <x:c r="D48" s="16" t="n">
        <x:v>4653.48</x:v>
      </x:c>
      <x:c r="E48" s="19" t="n">
        <x:v>0.5213</x:v>
      </x:c>
      <x:c r="F48" s="19" t="n">
        <x:v>0.92</x:v>
      </x:c>
      <x:c r="G48" s="22" t="n">
        <x:v>2.8</x:v>
      </x:c>
      <x:c r="H48" s="16" t="n">
        <x:v>193.7</x:v>
      </x:c>
      <x:c r="I48" s="13" t="str">
        <x:v>REORDER</x:v>
      </x:c>
      <x:c r="J48" s="13" t="str">
        <x:v>Best</x:v>
      </x:c>
      <x:c r="K48" s="13" t="n">
        <x:v>14</x:v>
      </x:c>
      <x:c r="L48" s="141"/>
      <x:c r="M48" s="13" t="str">
        <x:v>V020</x:v>
      </x:c>
      <x:c r="N48" s="13" t="str">
        <x:v>Foundry Objects</x:v>
      </x:c>
      <x:c r="O48" s="16" t="n">
        <x:v>390284.9</x:v>
      </x:c>
      <x:c r="P48" s="19" t="n">
        <x:v>0.5279</x:v>
      </x:c>
      <x:c r="Q48" s="19" t="n">
        <x:v>0.803</x:v>
      </x:c>
      <x:c r="R48" s="19" t="n">
        <x:v>0.871</x:v>
      </x:c>
      <x:c r="S48" s="13" t="n">
        <x:v>29</x:v>
      </x:c>
      <x:c r="T48" s="19" t="n">
        <x:v>0.035</x:v>
      </x:c>
      <x:c r="U48" s="13" t="n">
        <x:v>90</x:v>
      </x:c>
      <x:c r="V48" s="141"/>
      <x:c r="W48" s="141"/>
      <x:c r="X48" s="141"/>
      <x:c r="Y48" s="141"/>
      <x:c r="Z48" s="141"/>
      <x:c r="AA48" s="141"/>
      <x:c r="AB48" s="141"/>
      <x:c r="AC48" s="141"/>
      <x:c r="AD48" s="141"/>
      <x:c r="AE48" s="141"/>
    </x:row>
    <x:row r="49" ht="21" customHeight="1">
      <x:c r="A49" s="13" t="str">
        <x:v>UTL1083</x:v>
      </x:c>
      <x:c r="B49" s="13" t="str">
        <x:v>Mira Rattan Studio</x:v>
      </x:c>
      <x:c r="C49" s="13" t="str">
        <x:v>Utensils</x:v>
      </x:c>
      <x:c r="D49" s="16" t="n">
        <x:v>4240.01</x:v>
      </x:c>
      <x:c r="E49" s="19" t="n">
        <x:v>0.4761</x:v>
      </x:c>
      <x:c r="F49" s="19" t="n">
        <x:v>0.9167</x:v>
      </x:c>
      <x:c r="G49" s="22" t="n">
        <x:v>2.9</x:v>
      </x:c>
      <x:c r="H49" s="16" t="n">
        <x:v>201.95</x:v>
      </x:c>
      <x:c r="I49" s="13" t="str">
        <x:v>REORDER</x:v>
      </x:c>
      <x:c r="J49" s="13" t="str">
        <x:v>Better</x:v>
      </x:c>
      <x:c r="K49" s="13" t="n">
        <x:v>15</x:v>
      </x:c>
      <x:c r="L49" s="141"/>
      <x:c r="M49" s="13" t="str">
        <x:v>V016</x:v>
      </x:c>
      <x:c r="N49" s="13" t="str">
        <x:v>Marais Collection</x:v>
      </x:c>
      <x:c r="O49" s="16" t="n">
        <x:v>522521</x:v>
      </x:c>
      <x:c r="P49" s="19" t="n">
        <x:v>0.5229</x:v>
      </x:c>
      <x:c r="Q49" s="19" t="n">
        <x:v>0.8034</x:v>
      </x:c>
      <x:c r="R49" s="19" t="n">
        <x:v>0.772</x:v>
      </x:c>
      <x:c r="S49" s="13" t="n">
        <x:v>14</x:v>
      </x:c>
      <x:c r="T49" s="19" t="n">
        <x:v>0.016</x:v>
      </x:c>
      <x:c r="U49" s="13" t="n">
        <x:v>89</x:v>
      </x:c>
      <x:c r="V49" s="141"/>
      <x:c r="W49" s="141"/>
      <x:c r="X49" s="141"/>
      <x:c r="Y49" s="141"/>
      <x:c r="Z49" s="141"/>
      <x:c r="AA49" s="141"/>
      <x:c r="AB49" s="141"/>
      <x:c r="AC49" s="141"/>
      <x:c r="AD49" s="141"/>
      <x:c r="AE49" s="141"/>
    </x:row>
    <x:row r="50" ht="21" customHeight="1">
      <x:c r="A50" s="13" t="str">
        <x:v>BTH1511</x:v>
      </x:c>
      <x:c r="B50" s="13" t="str">
        <x:v>Arc Linen Collection</x:v>
      </x:c>
      <x:c r="C50" s="13" t="str">
        <x:v>Bath Accessories</x:v>
      </x:c>
      <x:c r="D50" s="16" t="n">
        <x:v>3586.3</x:v>
      </x:c>
      <x:c r="E50" s="19" t="n">
        <x:v>0.5073</x:v>
      </x:c>
      <x:c r="F50" s="19" t="n">
        <x:v>0.9583</x:v>
      </x:c>
      <x:c r="G50" s="22" t="n">
        <x:v>1.4</x:v>
      </x:c>
      <x:c r="H50" s="16" t="n">
        <x:v>76.82</x:v>
      </x:c>
      <x:c r="I50" s="13" t="str">
        <x:v>REORDER</x:v>
      </x:c>
      <x:c r="J50" s="13" t="str">
        <x:v>Best</x:v>
      </x:c>
      <x:c r="K50" s="13" t="n">
        <x:v>16</x:v>
      </x:c>
      <x:c r="L50" s="141"/>
      <x:c r="M50" s="13" t="str">
        <x:v>V003</x:v>
      </x:c>
      <x:c r="N50" s="13" t="str">
        <x:v>Luma House</x:v>
      </x:c>
      <x:c r="O50" s="16" t="n">
        <x:v>492186.09</x:v>
      </x:c>
      <x:c r="P50" s="19" t="n">
        <x:v>0.5075</x:v>
      </x:c>
      <x:c r="Q50" s="19" t="n">
        <x:v>0.8054</x:v>
      </x:c>
      <x:c r="R50" s="19" t="n">
        <x:v>0.891</x:v>
      </x:c>
      <x:c r="S50" s="13" t="n">
        <x:v>62</x:v>
      </x:c>
      <x:c r="T50" s="19" t="n">
        <x:v>0.04</x:v>
      </x:c>
      <x:c r="U50" s="13" t="n">
        <x:v>89</x:v>
      </x:c>
      <x:c r="V50" s="141"/>
      <x:c r="W50" s="141"/>
      <x:c r="X50" s="141"/>
      <x:c r="Y50" s="141"/>
      <x:c r="Z50" s="141"/>
      <x:c r="AA50" s="141"/>
      <x:c r="AB50" s="141"/>
      <x:c r="AC50" s="141"/>
      <x:c r="AD50" s="141"/>
      <x:c r="AE50" s="141"/>
    </x:row>
    <x:row r="51" ht="21" customHeight="1">
      <x:c r="A51" s="13" t="str">
        <x:v>DUV1206</x:v>
      </x:c>
      <x:c r="B51" s="13" t="str">
        <x:v>Noir Wool Line</x:v>
      </x:c>
      <x:c r="C51" s="13" t="str">
        <x:v>Duvets</x:v>
      </x:c>
      <x:c r="D51" s="16" t="n">
        <x:v>3493.13</x:v>
      </x:c>
      <x:c r="E51" s="19" t="n">
        <x:v>0.5427</x:v>
      </x:c>
      <x:c r="F51" s="19" t="n">
        <x:v>1</x:v>
      </x:c>
      <x:c r="G51" s="22" t="n">
        <x:v>0</x:v>
      </x:c>
      <x:c r="H51" s="16" t="n">
        <x:v>0</x:v>
      </x:c>
      <x:c r="I51" s="13" t="str">
        <x:v>REORDER</x:v>
      </x:c>
      <x:c r="J51" s="13" t="str">
        <x:v>Best</x:v>
      </x:c>
      <x:c r="K51" s="13" t="n">
        <x:v>17</x:v>
      </x:c>
      <x:c r="L51" s="141"/>
      <x:c r="M51" s="13" t="str">
        <x:v>V017</x:v>
      </x:c>
      <x:c r="N51" s="13" t="str">
        <x:v>Arbor Works</x:v>
      </x:c>
      <x:c r="O51" s="16" t="n">
        <x:v>383450.72</x:v>
      </x:c>
      <x:c r="P51" s="19" t="n">
        <x:v>0.5237</x:v>
      </x:c>
      <x:c r="Q51" s="19" t="n">
        <x:v>0.7912</x:v>
      </x:c>
      <x:c r="R51" s="19" t="n">
        <x:v>0.876</x:v>
      </x:c>
      <x:c r="S51" s="13" t="n">
        <x:v>15</x:v>
      </x:c>
      <x:c r="T51" s="19" t="n">
        <x:v>0.041</x:v>
      </x:c>
      <x:c r="U51" s="13" t="n">
        <x:v>89</x:v>
      </x:c>
      <x:c r="V51" s="141"/>
      <x:c r="W51" s="141"/>
      <x:c r="X51" s="141"/>
      <x:c r="Y51" s="141"/>
      <x:c r="Z51" s="141"/>
      <x:c r="AA51" s="141"/>
      <x:c r="AB51" s="141"/>
      <x:c r="AC51" s="141"/>
      <x:c r="AD51" s="141"/>
      <x:c r="AE51" s="141"/>
    </x:row>
    <x:row r="52" ht="21" customHeight="1">
      <x:c r="A52" s="13" t="str">
        <x:v>FUR0643</x:v>
      </x:c>
      <x:c r="B52" s="13" t="str">
        <x:v>Cove Cotton Vessel</x:v>
      </x:c>
      <x:c r="C52" s="13" t="str">
        <x:v>Accent Furniture</x:v>
      </x:c>
      <x:c r="D52" s="16" t="n">
        <x:v>3242.81</x:v>
      </x:c>
      <x:c r="E52" s="19" t="n">
        <x:v>0.1541</x:v>
      </x:c>
      <x:c r="F52" s="19" t="n">
        <x:v>0.9167</x:v>
      </x:c>
      <x:c r="G52" s="22" t="n">
        <x:v>2.9</x:v>
      </x:c>
      <x:c r="H52" s="16" t="n">
        <x:v>249.38</x:v>
      </x:c>
      <x:c r="I52" s="13" t="str">
        <x:v>REORDER</x:v>
      </x:c>
      <x:c r="J52" s="13" t="str">
        <x:v>Best</x:v>
      </x:c>
      <x:c r="K52" s="13" t="n">
        <x:v>18</x:v>
      </x:c>
      <x:c r="L52" s="141"/>
      <x:c r="M52" s="13" t="str">
        <x:v>V015</x:v>
      </x:c>
      <x:c r="N52" s="13" t="str">
        <x:v>Orchard Lane</x:v>
      </x:c>
      <x:c r="O52" s="16" t="n">
        <x:v>478953.35</x:v>
      </x:c>
      <x:c r="P52" s="19" t="n">
        <x:v>0.5157</x:v>
      </x:c>
      <x:c r="Q52" s="19" t="n">
        <x:v>0.8027</x:v>
      </x:c>
      <x:c r="R52" s="19" t="n">
        <x:v>0.871</x:v>
      </x:c>
      <x:c r="S52" s="13" t="n">
        <x:v>24</x:v>
      </x:c>
      <x:c r="T52" s="19" t="n">
        <x:v>0.045</x:v>
      </x:c>
      <x:c r="U52" s="13" t="n">
        <x:v>88</x:v>
      </x:c>
      <x:c r="V52" s="141"/>
      <x:c r="W52" s="141"/>
      <x:c r="X52" s="141"/>
      <x:c r="Y52" s="141"/>
      <x:c r="Z52" s="141"/>
      <x:c r="AA52" s="141"/>
      <x:c r="AB52" s="141"/>
      <x:c r="AC52" s="141"/>
      <x:c r="AD52" s="141"/>
      <x:c r="AE52" s="141"/>
    </x:row>
    <x:row r="53" ht="21" customHeight="1">
      <x:c r="A53" s="13" t="str">
        <x:v>BTH1546</x:v>
      </x:c>
      <x:c r="B53" s="13" t="str">
        <x:v>Aster Stone Studio</x:v>
      </x:c>
      <x:c r="C53" s="13" t="str">
        <x:v>Bath Accessories</x:v>
      </x:c>
      <x:c r="D53" s="16" t="n">
        <x:v>2580.06</x:v>
      </x:c>
      <x:c r="E53" s="19" t="n">
        <x:v>0.49</x:v>
      </x:c>
      <x:c r="F53" s="19" t="n">
        <x:v>0.925</x:v>
      </x:c>
      <x:c r="G53" s="22" t="n">
        <x:v>2.6</x:v>
      </x:c>
      <x:c r="H53" s="16" t="n">
        <x:v>106.68</x:v>
      </x:c>
      <x:c r="I53" s="13" t="str">
        <x:v>REORDER</x:v>
      </x:c>
      <x:c r="J53" s="13" t="str">
        <x:v>Best</x:v>
      </x:c>
      <x:c r="K53" s="13" t="n">
        <x:v>19</x:v>
      </x:c>
      <x:c r="L53" s="141"/>
      <x:c r="M53" s="13" t="str">
        <x:v>V011</x:v>
      </x:c>
      <x:c r="N53" s="13" t="str">
        <x:v>Meridian Craft</x:v>
      </x:c>
      <x:c r="O53" s="16" t="n">
        <x:v>579970.28</x:v>
      </x:c>
      <x:c r="P53" s="19" t="n">
        <x:v>0.5112</x:v>
      </x:c>
      <x:c r="Q53" s="19" t="n">
        <x:v>0.8067</x:v>
      </x:c>
      <x:c r="R53" s="19" t="n">
        <x:v>0.734</x:v>
      </x:c>
      <x:c r="S53" s="13" t="n">
        <x:v>42</x:v>
      </x:c>
      <x:c r="T53" s="19" t="n">
        <x:v>0.019</x:v>
      </x:c>
      <x:c r="U53" s="13" t="n">
        <x:v>87</x:v>
      </x:c>
      <x:c r="V53" s="141"/>
      <x:c r="W53" s="141"/>
      <x:c r="X53" s="141"/>
      <x:c r="Y53" s="141"/>
      <x:c r="Z53" s="141"/>
      <x:c r="AA53" s="141"/>
      <x:c r="AB53" s="141"/>
      <x:c r="AC53" s="141"/>
      <x:c r="AD53" s="141"/>
      <x:c r="AE53" s="141"/>
    </x:row>
    <x:row r="54" ht="21" customHeight="1">
      <x:c r="A54" s="13" t="str">
        <x:v>SRV1016</x:v>
      </x:c>
      <x:c r="B54" s="13" t="str">
        <x:v>Mira Linen Form</x:v>
      </x:c>
      <x:c r="C54" s="13" t="str">
        <x:v>Serveware</x:v>
      </x:c>
      <x:c r="D54" s="16" t="n">
        <x:v>2532.61</x:v>
      </x:c>
      <x:c r="E54" s="19" t="n">
        <x:v>0.6068</x:v>
      </x:c>
      <x:c r="F54" s="19" t="n">
        <x:v>0.9167</x:v>
      </x:c>
      <x:c r="G54" s="22" t="n">
        <x:v>2.9</x:v>
      </x:c>
      <x:c r="H54" s="16" t="n">
        <x:v>90.54</x:v>
      </x:c>
      <x:c r="I54" s="13" t="str">
        <x:v>REORDER</x:v>
      </x:c>
      <x:c r="J54" s="13" t="str">
        <x:v>Best</x:v>
      </x:c>
      <x:c r="K54" s="13" t="n">
        <x:v>20</x:v>
      </x:c>
      <x:c r="L54" s="141"/>
      <x:c r="M54" s="14" t="str">
        <x:v>V007</x:v>
      </x:c>
      <x:c r="N54" s="14" t="str">
        <x:v>Morrow Textiles</x:v>
      </x:c>
      <x:c r="O54" s="17" t="n">
        <x:v>377764.79</x:v>
      </x:c>
      <x:c r="P54" s="20" t="n">
        <x:v>0.5222</x:v>
      </x:c>
      <x:c r="Q54" s="20" t="n">
        <x:v>0.7975</x:v>
      </x:c>
      <x:c r="R54" s="20" t="n">
        <x:v>0.713</x:v>
      </x:c>
      <x:c r="S54" s="14" t="n">
        <x:v>20</x:v>
      </x:c>
      <x:c r="T54" s="20" t="n">
        <x:v>0.028</x:v>
      </x:c>
      <x:c r="U54" s="14" t="n">
        <x:v>86</x:v>
      </x:c>
      <x:c r="V54" s="141"/>
      <x:c r="W54" s="141"/>
      <x:c r="X54" s="141"/>
      <x:c r="Y54" s="141"/>
      <x:c r="Z54" s="141"/>
      <x:c r="AA54" s="141"/>
      <x:c r="AB54" s="141"/>
      <x:c r="AC54" s="141"/>
      <x:c r="AD54" s="141"/>
      <x:c r="AE54" s="141"/>
    </x:row>
    <x:row r="55" ht="21" customHeight="1">
      <x:c r="A55" s="13" t="str">
        <x:v>TOW1472</x:v>
      </x:c>
      <x:c r="B55" s="13" t="str">
        <x:v>Mira Stone Object</x:v>
      </x:c>
      <x:c r="C55" s="13" t="str">
        <x:v>Towels</x:v>
      </x:c>
      <x:c r="D55" s="16" t="n">
        <x:v>2139.97</x:v>
      </x:c>
      <x:c r="E55" s="19" t="n">
        <x:v>0.4848</x:v>
      </x:c>
      <x:c r="F55" s="19" t="n">
        <x:v>0.9355</x:v>
      </x:c>
      <x:c r="G55" s="22" t="n">
        <x:v>2.2</x:v>
      </x:c>
      <x:c r="H55" s="16" t="n">
        <x:v>76.04</x:v>
      </x:c>
      <x:c r="I55" s="13" t="str">
        <x:v>REORDER</x:v>
      </x:c>
      <x:c r="J55" s="13" t="str">
        <x:v>Good</x:v>
      </x:c>
      <x:c r="K55" s="13" t="n">
        <x:v>21</x:v>
      </x:c>
      <x:c r="L55" s="141"/>
      <x:c r="M55" s="141"/>
      <x:c r="N55" s="141"/>
      <x:c r="O55" s="141"/>
      <x:c r="P55" s="141"/>
      <x:c r="Q55" s="141"/>
      <x:c r="R55" s="141"/>
      <x:c r="S55" s="141"/>
      <x:c r="T55" s="141"/>
      <x:c r="U55" s="141"/>
      <x:c r="V55" s="141"/>
      <x:c r="W55" s="141"/>
      <x:c r="X55" s="141"/>
      <x:c r="Y55" s="141"/>
      <x:c r="Z55" s="141"/>
      <x:c r="AA55" s="141"/>
      <x:c r="AB55" s="141"/>
      <x:c r="AC55" s="141"/>
      <x:c r="AD55" s="141"/>
      <x:c r="AE55" s="141"/>
    </x:row>
    <x:row r="56" ht="21" customHeight="1">
      <x:c r="A56" s="13" t="str">
        <x:v>SUM2024</x:v>
      </x:c>
      <x:c r="B56" s="13" t="str">
        <x:v>Vale Stone Object</x:v>
      </x:c>
      <x:c r="C56" s="13" t="str">
        <x:v>Summer Living</x:v>
      </x:c>
      <x:c r="D56" s="16" t="n">
        <x:v>2071.84</x:v>
      </x:c>
      <x:c r="E56" s="19" t="n">
        <x:v>0.4732</x:v>
      </x:c>
      <x:c r="F56" s="19" t="n">
        <x:v>0.9167</x:v>
      </x:c>
      <x:c r="G56" s="22" t="n">
        <x:v>2.9</x:v>
      </x:c>
      <x:c r="H56" s="16" t="n">
        <x:v>99.22</x:v>
      </x:c>
      <x:c r="I56" s="13" t="str">
        <x:v>REORDER</x:v>
      </x:c>
      <x:c r="J56" s="13" t="str">
        <x:v>Best</x:v>
      </x:c>
      <x:c r="K56" s="13" t="n">
        <x:v>22</x:v>
      </x:c>
      <x:c r="L56" s="141"/>
      <x:c r="M56" s="141"/>
      <x:c r="N56" s="141"/>
      <x:c r="O56" s="141"/>
      <x:c r="P56" s="141"/>
      <x:c r="Q56" s="141"/>
      <x:c r="R56" s="141"/>
      <x:c r="S56" s="141"/>
      <x:c r="T56" s="141"/>
      <x:c r="U56" s="141"/>
      <x:c r="V56" s="141"/>
      <x:c r="W56" s="141"/>
      <x:c r="X56" s="141"/>
      <x:c r="Y56" s="141"/>
      <x:c r="Z56" s="141"/>
      <x:c r="AA56" s="141"/>
      <x:c r="AB56" s="141"/>
      <x:c r="AC56" s="141"/>
      <x:c r="AD56" s="141"/>
      <x:c r="AE56" s="141"/>
    </x:row>
    <x:row r="57" ht="21" customHeight="1">
      <x:c r="A57" s="13" t="str">
        <x:v>SHT1303</x:v>
      </x:c>
      <x:c r="B57" s="13" t="str">
        <x:v>Mira Stone Form</x:v>
      </x:c>
      <x:c r="C57" s="13" t="str">
        <x:v>Sheets</x:v>
      </x:c>
      <x:c r="D57" s="16" t="n">
        <x:v>1858.27</x:v>
      </x:c>
      <x:c r="E57" s="19" t="n">
        <x:v>0.447</x:v>
      </x:c>
      <x:c r="F57" s="19" t="n">
        <x:v>0.9444</x:v>
      </x:c>
      <x:c r="G57" s="22" t="n">
        <x:v>1.9</x:v>
      </x:c>
      <x:c r="H57" s="16" t="n">
        <x:v>60.45</x:v>
      </x:c>
      <x:c r="I57" s="13" t="str">
        <x:v>REORDER</x:v>
      </x:c>
      <x:c r="J57" s="13" t="str">
        <x:v>Best</x:v>
      </x:c>
      <x:c r="K57" s="13" t="n">
        <x:v>23</x:v>
      </x:c>
      <x:c r="L57" s="141"/>
      <x:c r="M57" s="141"/>
      <x:c r="N57" s="141"/>
      <x:c r="O57" s="141"/>
      <x:c r="P57" s="141"/>
      <x:c r="Q57" s="141"/>
      <x:c r="R57" s="141"/>
      <x:c r="S57" s="141"/>
      <x:c r="T57" s="141"/>
      <x:c r="U57" s="141"/>
      <x:c r="V57" s="141"/>
      <x:c r="W57" s="141"/>
      <x:c r="X57" s="141"/>
      <x:c r="Y57" s="141"/>
      <x:c r="Z57" s="141"/>
      <x:c r="AA57" s="141"/>
      <x:c r="AB57" s="141"/>
      <x:c r="AC57" s="141"/>
      <x:c r="AD57" s="141"/>
      <x:c r="AE57" s="141"/>
    </x:row>
    <x:row r="58" ht="21" customHeight="1">
      <x:c r="A58" s="13" t="str">
        <x:v>BTH1501</x:v>
      </x:c>
      <x:c r="B58" s="13" t="str">
        <x:v>Noir Rattan Atelier</x:v>
      </x:c>
      <x:c r="C58" s="13" t="str">
        <x:v>Bath Accessories</x:v>
      </x:c>
      <x:c r="D58" s="16" t="n">
        <x:v>1453.54</x:v>
      </x:c>
      <x:c r="E58" s="19" t="n">
        <x:v>0.5303</x:v>
      </x:c>
      <x:c r="F58" s="19" t="n">
        <x:v>0.9231</x:v>
      </x:c>
      <x:c r="G58" s="22" t="n">
        <x:v>2.7</x:v>
      </x:c>
      <x:c r="H58" s="16" t="n">
        <x:v>56.9</x:v>
      </x:c>
      <x:c r="I58" s="13" t="str">
        <x:v>REORDER</x:v>
      </x:c>
      <x:c r="J58" s="13" t="str">
        <x:v>Better</x:v>
      </x:c>
      <x:c r="K58" s="13" t="n">
        <x:v>24</x:v>
      </x:c>
      <x:c r="L58" s="141"/>
      <x:c r="M58" s="141"/>
      <x:c r="N58" s="141"/>
      <x:c r="O58" s="141"/>
      <x:c r="P58" s="141"/>
      <x:c r="Q58" s="141"/>
      <x:c r="R58" s="141"/>
      <x:c r="S58" s="141"/>
      <x:c r="T58" s="141"/>
      <x:c r="U58" s="141"/>
      <x:c r="V58" s="141"/>
      <x:c r="W58" s="141"/>
      <x:c r="X58" s="141"/>
      <x:c r="Y58" s="141"/>
      <x:c r="Z58" s="141"/>
      <x:c r="AA58" s="141"/>
      <x:c r="AB58" s="141"/>
      <x:c r="AC58" s="141"/>
      <x:c r="AD58" s="141"/>
      <x:c r="AE58" s="141"/>
    </x:row>
    <x:row r="59" ht="21" customHeight="1">
      <x:c r="A59" s="13" t="str">
        <x:v>SRV0986</x:v>
      </x:c>
      <x:c r="B59" s="13" t="str">
        <x:v>Harbour Wool Collection</x:v>
      </x:c>
      <x:c r="C59" s="13" t="str">
        <x:v>Serveware</x:v>
      </x:c>
      <x:c r="D59" s="16" t="n">
        <x:v>1450.34</x:v>
      </x:c>
      <x:c r="E59" s="19" t="n">
        <x:v>0.4614</x:v>
      </x:c>
      <x:c r="F59" s="19" t="n">
        <x:v>0.9216</x:v>
      </x:c>
      <x:c r="G59" s="22" t="n">
        <x:v>2.7</x:v>
      </x:c>
      <x:c r="H59" s="16" t="n">
        <x:v>66.48</x:v>
      </x:c>
      <x:c r="I59" s="13" t="str">
        <x:v>REORDER</x:v>
      </x:c>
      <x:c r="J59" s="13" t="str">
        <x:v>Good</x:v>
      </x:c>
      <x:c r="K59" s="13" t="n">
        <x:v>25</x:v>
      </x:c>
      <x:c r="L59" s="141"/>
      <x:c r="M59" s="141"/>
      <x:c r="N59" s="141"/>
      <x:c r="O59" s="141"/>
      <x:c r="P59" s="141"/>
      <x:c r="Q59" s="141"/>
      <x:c r="R59" s="141"/>
      <x:c r="S59" s="141"/>
      <x:c r="T59" s="141"/>
      <x:c r="U59" s="141"/>
      <x:c r="V59" s="141"/>
      <x:c r="W59" s="141"/>
      <x:c r="X59" s="141"/>
      <x:c r="Y59" s="141"/>
      <x:c r="Z59" s="141"/>
      <x:c r="AA59" s="141"/>
      <x:c r="AB59" s="141"/>
      <x:c r="AC59" s="141"/>
      <x:c r="AD59" s="141"/>
      <x:c r="AE59" s="141"/>
    </x:row>
    <x:row r="60" ht="21" customHeight="1">
      <x:c r="A60" s="13" t="str">
        <x:v>PIL1394</x:v>
      </x:c>
      <x:c r="B60" s="13" t="str">
        <x:v>Aster Rattan Studio</x:v>
      </x:c>
      <x:c r="C60" s="13" t="str">
        <x:v>Pillows</x:v>
      </x:c>
      <x:c r="D60" s="16" t="n">
        <x:v>1406.21</x:v>
      </x:c>
      <x:c r="E60" s="19" t="n">
        <x:v>0.5087</x:v>
      </x:c>
      <x:c r="F60" s="19" t="n">
        <x:v>0.9268</x:v>
      </x:c>
      <x:c r="G60" s="22" t="n">
        <x:v>2.5</x:v>
      </x:c>
      <x:c r="H60" s="16" t="n">
        <x:v>54.54</x:v>
      </x:c>
      <x:c r="I60" s="13" t="str">
        <x:v>REORDER</x:v>
      </x:c>
      <x:c r="J60" s="13" t="str">
        <x:v>Good</x:v>
      </x:c>
      <x:c r="K60" s="13" t="n">
        <x:v>26</x:v>
      </x:c>
      <x:c r="L60" s="141"/>
      <x:c r="M60" s="141"/>
      <x:c r="N60" s="141"/>
      <x:c r="O60" s="141"/>
      <x:c r="P60" s="141"/>
      <x:c r="Q60" s="141"/>
      <x:c r="R60" s="141"/>
      <x:c r="S60" s="141"/>
      <x:c r="T60" s="141"/>
      <x:c r="U60" s="141"/>
      <x:c r="V60" s="141"/>
      <x:c r="W60" s="141"/>
      <x:c r="X60" s="141"/>
      <x:c r="Y60" s="141"/>
      <x:c r="Z60" s="141"/>
      <x:c r="AA60" s="141"/>
      <x:c r="AB60" s="141"/>
      <x:c r="AC60" s="141"/>
      <x:c r="AD60" s="141"/>
      <x:c r="AE60" s="141"/>
    </x:row>
    <x:row r="61" ht="21" customHeight="1">
      <x:c r="A61" s="13" t="str">
        <x:v>CND2138</x:v>
      </x:c>
      <x:c r="B61" s="13" t="str">
        <x:v>Marlow Brass Form</x:v>
      </x:c>
      <x:c r="C61" s="13" t="str">
        <x:v>Candles</x:v>
      </x:c>
      <x:c r="D61" s="16" t="n">
        <x:v>1323.48</x:v>
      </x:c>
      <x:c r="E61" s="19" t="n">
        <x:v>0.5684</x:v>
      </x:c>
      <x:c r="F61" s="19" t="n">
        <x:v>0.9333</x:v>
      </x:c>
      <x:c r="G61" s="22" t="n">
        <x:v>2.3</x:v>
      </x:c>
      <x:c r="H61" s="16" t="n">
        <x:v>40.8</x:v>
      </x:c>
      <x:c r="I61" s="13" t="str">
        <x:v>REORDER</x:v>
      </x:c>
      <x:c r="J61" s="13" t="str">
        <x:v>Better</x:v>
      </x:c>
      <x:c r="K61" s="13" t="n">
        <x:v>27</x:v>
      </x:c>
      <x:c r="L61" s="141"/>
      <x:c r="M61" s="141"/>
      <x:c r="N61" s="141"/>
      <x:c r="O61" s="141"/>
      <x:c r="P61" s="141"/>
      <x:c r="Q61" s="141"/>
      <x:c r="R61" s="141"/>
      <x:c r="S61" s="141"/>
      <x:c r="T61" s="141"/>
      <x:c r="U61" s="141"/>
      <x:c r="V61" s="141"/>
      <x:c r="W61" s="141"/>
      <x:c r="X61" s="141"/>
      <x:c r="Y61" s="141"/>
      <x:c r="Z61" s="141"/>
      <x:c r="AA61" s="141"/>
      <x:c r="AB61" s="141"/>
      <x:c r="AC61" s="141"/>
      <x:c r="AD61" s="141"/>
      <x:c r="AE61" s="141"/>
    </x:row>
    <x:row r="62" ht="21" customHeight="1">
      <x:c r="A62" s="13" t="str">
        <x:v>SRV1020</x:v>
      </x:c>
      <x:c r="B62" s="13" t="str">
        <x:v>Sable Cotton Line</x:v>
      </x:c>
      <x:c r="C62" s="13" t="str">
        <x:v>Serveware</x:v>
      </x:c>
      <x:c r="D62" s="16" t="n">
        <x:v>1166.51</x:v>
      </x:c>
      <x:c r="E62" s="19" t="n">
        <x:v>0.5263</x:v>
      </x:c>
      <x:c r="F62" s="19" t="n">
        <x:v>0.9167</x:v>
      </x:c>
      <x:c r="G62" s="22" t="n">
        <x:v>2.9</x:v>
      </x:c>
      <x:c r="H62" s="16" t="n">
        <x:v>50.23</x:v>
      </x:c>
      <x:c r="I62" s="13" t="str">
        <x:v>REORDER</x:v>
      </x:c>
      <x:c r="J62" s="13" t="str">
        <x:v>Best</x:v>
      </x:c>
      <x:c r="K62" s="13" t="n">
        <x:v>28</x:v>
      </x:c>
      <x:c r="L62" s="141"/>
      <x:c r="M62" s="141"/>
      <x:c r="N62" s="141"/>
      <x:c r="O62" s="141"/>
      <x:c r="P62" s="141"/>
      <x:c r="Q62" s="141"/>
      <x:c r="R62" s="141"/>
      <x:c r="S62" s="141"/>
      <x:c r="T62" s="141"/>
      <x:c r="U62" s="141"/>
      <x:c r="V62" s="141"/>
      <x:c r="W62" s="141"/>
      <x:c r="X62" s="141"/>
      <x:c r="Y62" s="141"/>
      <x:c r="Z62" s="141"/>
      <x:c r="AA62" s="141"/>
      <x:c r="AB62" s="141"/>
      <x:c r="AC62" s="141"/>
      <x:c r="AD62" s="141"/>
      <x:c r="AE62" s="141"/>
    </x:row>
    <x:row r="63" ht="21" customHeight="1">
      <x:c r="A63" s="13" t="str">
        <x:v>SHL1691</x:v>
      </x:c>
      <x:c r="B63" s="13" t="str">
        <x:v>Ridge Oak Atelier</x:v>
      </x:c>
      <x:c r="C63" s="13" t="str">
        <x:v>Shelving</x:v>
      </x:c>
      <x:c r="D63" s="16" t="n">
        <x:v>1070.22</x:v>
      </x:c>
      <x:c r="E63" s="19" t="n">
        <x:v>0.5085</x:v>
      </x:c>
      <x:c r="F63" s="19" t="n">
        <x:v>0.9444</x:v>
      </x:c>
      <x:c r="G63" s="22" t="n">
        <x:v>1.9</x:v>
      </x:c>
      <x:c r="H63" s="16" t="n">
        <x:v>30.94</x:v>
      </x:c>
      <x:c r="I63" s="13" t="str">
        <x:v>REORDER</x:v>
      </x:c>
      <x:c r="J63" s="13" t="str">
        <x:v>Better</x:v>
      </x:c>
      <x:c r="K63" s="13" t="n">
        <x:v>29</x:v>
      </x:c>
      <x:c r="L63" s="141"/>
      <x:c r="M63" s="141"/>
      <x:c r="N63" s="141"/>
      <x:c r="O63" s="141"/>
      <x:c r="P63" s="141"/>
      <x:c r="Q63" s="141"/>
      <x:c r="R63" s="141"/>
      <x:c r="S63" s="141"/>
      <x:c r="T63" s="141"/>
      <x:c r="U63" s="141"/>
      <x:c r="V63" s="141"/>
      <x:c r="W63" s="141"/>
      <x:c r="X63" s="141"/>
      <x:c r="Y63" s="141"/>
      <x:c r="Z63" s="141"/>
      <x:c r="AA63" s="141"/>
      <x:c r="AB63" s="141"/>
      <x:c r="AC63" s="141"/>
      <x:c r="AD63" s="141"/>
      <x:c r="AE63" s="141"/>
    </x:row>
    <x:row r="64" ht="21" customHeight="1">
      <x:c r="A64" s="13" t="str">
        <x:v>CND2122</x:v>
      </x:c>
      <x:c r="B64" s="13" t="str">
        <x:v>Noir Oak Vessel</x:v>
      </x:c>
      <x:c r="C64" s="13" t="str">
        <x:v>Candles</x:v>
      </x:c>
      <x:c r="D64" s="16" t="n">
        <x:v>966.24</x:v>
      </x:c>
      <x:c r="E64" s="19" t="n">
        <x:v>0.5352</x:v>
      </x:c>
      <x:c r="F64" s="19" t="n">
        <x:v>0.9412</x:v>
      </x:c>
      <x:c r="G64" s="22" t="n">
        <x:v>2</x:v>
      </x:c>
      <x:c r="H64" s="16" t="n">
        <x:v>28.07</x:v>
      </x:c>
      <x:c r="I64" s="13" t="str">
        <x:v>REORDER</x:v>
      </x:c>
      <x:c r="J64" s="13" t="str">
        <x:v>Better</x:v>
      </x:c>
      <x:c r="K64" s="13" t="n">
        <x:v>30</x:v>
      </x:c>
      <x:c r="L64" s="141"/>
      <x:c r="M64" s="141"/>
      <x:c r="N64" s="141"/>
      <x:c r="O64" s="141"/>
      <x:c r="P64" s="141"/>
      <x:c r="Q64" s="141"/>
      <x:c r="R64" s="141"/>
      <x:c r="S64" s="141"/>
      <x:c r="T64" s="141"/>
      <x:c r="U64" s="141"/>
      <x:c r="V64" s="141"/>
      <x:c r="W64" s="141"/>
      <x:c r="X64" s="141"/>
      <x:c r="Y64" s="141"/>
      <x:c r="Z64" s="141"/>
      <x:c r="AA64" s="141"/>
      <x:c r="AB64" s="141"/>
      <x:c r="AC64" s="141"/>
      <x:c r="AD64" s="141"/>
      <x:c r="AE64" s="141"/>
    </x:row>
    <x:row r="65" ht="21" customHeight="1">
      <x:c r="A65" s="13" t="str">
        <x:v>SRV1011</x:v>
      </x:c>
      <x:c r="B65" s="13" t="str">
        <x:v>Aster Rattan House</x:v>
      </x:c>
      <x:c r="C65" s="13" t="str">
        <x:v>Serveware</x:v>
      </x:c>
      <x:c r="D65" s="16" t="n">
        <x:v>827.88</x:v>
      </x:c>
      <x:c r="E65" s="19" t="n">
        <x:v>0.5194</x:v>
      </x:c>
      <x:c r="F65" s="19" t="n">
        <x:v>1</x:v>
      </x:c>
      <x:c r="G65" s="22" t="n">
        <x:v>0</x:v>
      </x:c>
      <x:c r="H65" s="16" t="n">
        <x:v>0</x:v>
      </x:c>
      <x:c r="I65" s="13" t="str">
        <x:v>REORDER</x:v>
      </x:c>
      <x:c r="J65" s="13" t="str">
        <x:v>Better</x:v>
      </x:c>
      <x:c r="K65" s="13" t="n">
        <x:v>31</x:v>
      </x:c>
      <x:c r="L65" s="141"/>
      <x:c r="M65" s="141"/>
      <x:c r="N65" s="141"/>
      <x:c r="O65" s="141"/>
      <x:c r="P65" s="141"/>
      <x:c r="Q65" s="141"/>
      <x:c r="R65" s="141"/>
      <x:c r="S65" s="141"/>
      <x:c r="T65" s="141"/>
      <x:c r="U65" s="141"/>
      <x:c r="V65" s="141"/>
      <x:c r="W65" s="141"/>
      <x:c r="X65" s="141"/>
      <x:c r="Y65" s="141"/>
      <x:c r="Z65" s="141"/>
      <x:c r="AA65" s="141"/>
      <x:c r="AB65" s="141"/>
      <x:c r="AC65" s="141"/>
      <x:c r="AD65" s="141"/>
      <x:c r="AE65" s="141"/>
    </x:row>
    <x:row r="66" ht="21" customHeight="1">
      <x:c r="A66" s="13" t="str">
        <x:v>UTL1122</x:v>
      </x:c>
      <x:c r="B66" s="13" t="str">
        <x:v>Harbour Glass Series</x:v>
      </x:c>
      <x:c r="C66" s="13" t="str">
        <x:v>Utensils</x:v>
      </x:c>
      <x:c r="D66" s="16" t="n">
        <x:v>707.46</x:v>
      </x:c>
      <x:c r="E66" s="19" t="n">
        <x:v>0.5503</x:v>
      </x:c>
      <x:c r="F66" s="19" t="n">
        <x:v>0.9167</x:v>
      </x:c>
      <x:c r="G66" s="22" t="n">
        <x:v>2.9</x:v>
      </x:c>
      <x:c r="H66" s="16" t="n">
        <x:v>28.92</x:v>
      </x:c>
      <x:c r="I66" s="13" t="str">
        <x:v>REORDER</x:v>
      </x:c>
      <x:c r="J66" s="13" t="str">
        <x:v>Good</x:v>
      </x:c>
      <x:c r="K66" s="13" t="n">
        <x:v>32</x:v>
      </x:c>
      <x:c r="L66" s="141"/>
      <x:c r="M66" s="141"/>
      <x:c r="N66" s="141"/>
      <x:c r="O66" s="141"/>
      <x:c r="P66" s="141"/>
      <x:c r="Q66" s="141"/>
      <x:c r="R66" s="141"/>
      <x:c r="S66" s="141"/>
      <x:c r="T66" s="141"/>
      <x:c r="U66" s="141"/>
      <x:c r="V66" s="141"/>
      <x:c r="W66" s="141"/>
      <x:c r="X66" s="141"/>
      <x:c r="Y66" s="141"/>
      <x:c r="Z66" s="141"/>
      <x:c r="AA66" s="141"/>
      <x:c r="AB66" s="141"/>
      <x:c r="AC66" s="141"/>
      <x:c r="AD66" s="141"/>
      <x:c r="AE66" s="141"/>
    </x:row>
    <x:row r="67" ht="21" customHeight="1">
      <x:c r="A67" s="13" t="str">
        <x:v>CND2159</x:v>
      </x:c>
      <x:c r="B67" s="13" t="str">
        <x:v>Arc Brass Collection</x:v>
      </x:c>
      <x:c r="C67" s="13" t="str">
        <x:v>Candles</x:v>
      </x:c>
      <x:c r="D67" s="16" t="n">
        <x:v>666.83</x:v>
      </x:c>
      <x:c r="E67" s="19" t="n">
        <x:v>0.5133</x:v>
      </x:c>
      <x:c r="F67" s="19" t="n">
        <x:v>0.9643</x:v>
      </x:c>
      <x:c r="G67" s="22" t="n">
        <x:v>1.2</x:v>
      </x:c>
      <x:c r="H67" s="16" t="n">
        <x:v>12.02</x:v>
      </x:c>
      <x:c r="I67" s="13" t="str">
        <x:v>REORDER</x:v>
      </x:c>
      <x:c r="J67" s="13" t="str">
        <x:v>Good</x:v>
      </x:c>
      <x:c r="K67" s="13" t="n">
        <x:v>33</x:v>
      </x:c>
      <x:c r="L67" s="141"/>
      <x:c r="M67" s="141"/>
      <x:c r="N67" s="141"/>
      <x:c r="O67" s="141"/>
      <x:c r="P67" s="141"/>
      <x:c r="Q67" s="141"/>
      <x:c r="R67" s="141"/>
      <x:c r="S67" s="141"/>
      <x:c r="T67" s="141"/>
      <x:c r="U67" s="141"/>
      <x:c r="V67" s="141"/>
      <x:c r="W67" s="141"/>
      <x:c r="X67" s="141"/>
      <x:c r="Y67" s="141"/>
      <x:c r="Z67" s="141"/>
      <x:c r="AA67" s="141"/>
      <x:c r="AB67" s="141"/>
      <x:c r="AC67" s="141"/>
      <x:c r="AD67" s="141"/>
      <x:c r="AE67" s="141"/>
    </x:row>
    <x:row r="68" ht="21" customHeight="1">
      <x:c r="A68" s="13" t="str">
        <x:v>DEC0127</x:v>
      </x:c>
      <x:c r="B68" s="13" t="str">
        <x:v>Avery Glass Form</x:v>
      </x:c>
      <x:c r="C68" s="13" t="str">
        <x:v>Decorative Objects</x:v>
      </x:c>
      <x:c r="D68" s="16" t="n">
        <x:v>533.56</x:v>
      </x:c>
      <x:c r="E68" s="19" t="n">
        <x:v>0.4695</x:v>
      </x:c>
      <x:c r="F68" s="19" t="n">
        <x:v>0.9231</x:v>
      </x:c>
      <x:c r="G68" s="22" t="n">
        <x:v>2.7</x:v>
      </x:c>
      <x:c r="H68" s="16" t="n">
        <x:v>23.59</x:v>
      </x:c>
      <x:c r="I68" s="13" t="str">
        <x:v>REORDER</x:v>
      </x:c>
      <x:c r="J68" s="13" t="str">
        <x:v>Better</x:v>
      </x:c>
      <x:c r="K68" s="13" t="n">
        <x:v>34</x:v>
      </x:c>
      <x:c r="L68" s="141"/>
      <x:c r="M68" s="141"/>
      <x:c r="N68" s="141"/>
      <x:c r="O68" s="141"/>
      <x:c r="P68" s="141"/>
      <x:c r="Q68" s="141"/>
      <x:c r="R68" s="141"/>
      <x:c r="S68" s="141"/>
      <x:c r="T68" s="141"/>
      <x:c r="U68" s="141"/>
      <x:c r="V68" s="141"/>
      <x:c r="W68" s="141"/>
      <x:c r="X68" s="141"/>
      <x:c r="Y68" s="141"/>
      <x:c r="Z68" s="141"/>
      <x:c r="AA68" s="141"/>
      <x:c r="AB68" s="141"/>
      <x:c r="AC68" s="141"/>
      <x:c r="AD68" s="141"/>
      <x:c r="AE68" s="141"/>
    </x:row>
    <x:row r="69" ht="21" customHeight="1">
      <x:c r="A69" s="13" t="str">
        <x:v>CND2124</x:v>
      </x:c>
      <x:c r="B69" s="13" t="str">
        <x:v>Ridge Glass House</x:v>
      </x:c>
      <x:c r="C69" s="13" t="str">
        <x:v>Candles</x:v>
      </x:c>
      <x:c r="D69" s="16" t="n">
        <x:v>522.79</x:v>
      </x:c>
      <x:c r="E69" s="19" t="n">
        <x:v>0.4773</x:v>
      </x:c>
      <x:c r="F69" s="19" t="n">
        <x:v>0.9474</x:v>
      </x:c>
      <x:c r="G69" s="22" t="n">
        <x:v>1.8</x:v>
      </x:c>
      <x:c r="H69" s="16" t="n">
        <x:v>15.18</x:v>
      </x:c>
      <x:c r="I69" s="13" t="str">
        <x:v>REORDER</x:v>
      </x:c>
      <x:c r="J69" s="13" t="str">
        <x:v>Entry</x:v>
      </x:c>
      <x:c r="K69" s="13" t="n">
        <x:v>35</x:v>
      </x:c>
      <x:c r="L69" s="141"/>
      <x:c r="M69" s="141"/>
      <x:c r="N69" s="141"/>
      <x:c r="O69" s="141"/>
      <x:c r="P69" s="141"/>
      <x:c r="Q69" s="141"/>
      <x:c r="R69" s="141"/>
      <x:c r="S69" s="141"/>
      <x:c r="T69" s="141"/>
      <x:c r="U69" s="141"/>
      <x:c r="V69" s="141"/>
      <x:c r="W69" s="141"/>
      <x:c r="X69" s="141"/>
      <x:c r="Y69" s="141"/>
      <x:c r="Z69" s="141"/>
      <x:c r="AA69" s="141"/>
      <x:c r="AB69" s="141"/>
      <x:c r="AC69" s="141"/>
      <x:c r="AD69" s="141"/>
      <x:c r="AE69" s="141"/>
    </x:row>
    <x:row r="70" ht="21" customHeight="1">
      <x:c r="A70" s="13" t="str">
        <x:v>CHR1982</x:v>
      </x:c>
      <x:c r="B70" s="13" t="str">
        <x:v>Avery Marble Object</x:v>
      </x:c>
      <x:c r="C70" s="13" t="str">
        <x:v>Christmas Decor</x:v>
      </x:c>
      <x:c r="D70" s="16" t="n">
        <x:v>461.61</x:v>
      </x:c>
      <x:c r="E70" s="19" t="n">
        <x:v>0.5169</x:v>
      </x:c>
      <x:c r="F70" s="19" t="n">
        <x:v>0.3333</x:v>
      </x:c>
      <x:c r="G70" s="22" t="n">
        <x:v>63.7</x:v>
      </x:c>
      <x:c r="H70" s="16" t="n">
        <x:v>445.98</x:v>
      </x:c>
      <x:c r="I70" s="13" t="str">
        <x:v>MARKDOWN</x:v>
      </x:c>
      <x:c r="J70" s="13" t="str">
        <x:v>Best</x:v>
      </x:c>
      <x:c r="K70" s="13" t="n">
        <x:v>36</x:v>
      </x:c>
      <x:c r="L70" s="141"/>
      <x:c r="M70" s="141"/>
      <x:c r="N70" s="141"/>
      <x:c r="O70" s="141"/>
      <x:c r="P70" s="141"/>
      <x:c r="Q70" s="141"/>
      <x:c r="R70" s="141"/>
      <x:c r="S70" s="141"/>
      <x:c r="T70" s="141"/>
      <x:c r="U70" s="141"/>
      <x:c r="V70" s="141"/>
      <x:c r="W70" s="141"/>
      <x:c r="X70" s="141"/>
      <x:c r="Y70" s="141"/>
      <x:c r="Z70" s="141"/>
      <x:c r="AA70" s="141"/>
      <x:c r="AB70" s="141"/>
      <x:c r="AC70" s="141"/>
      <x:c r="AD70" s="141"/>
      <x:c r="AE70" s="141"/>
    </x:row>
    <x:row r="71" ht="21" customHeight="1">
      <x:c r="A71" s="13" t="str">
        <x:v>CHR1984</x:v>
      </x:c>
      <x:c r="B71" s="13" t="str">
        <x:v>Vale Brass Atelier</x:v>
      </x:c>
      <x:c r="C71" s="13" t="str">
        <x:v>Christmas Decor</x:v>
      </x:c>
      <x:c r="D71" s="16" t="n">
        <x:v>456.42</x:v>
      </x:c>
      <x:c r="E71" s="19" t="n">
        <x:v>0.5715</x:v>
      </x:c>
      <x:c r="F71" s="19" t="n">
        <x:v>0.3</x:v>
      </x:c>
      <x:c r="G71" s="22" t="n">
        <x:v>74.3</x:v>
      </x:c>
      <x:c r="H71" s="16" t="n">
        <x:v>456.33</x:v>
      </x:c>
      <x:c r="I71" s="13" t="str">
        <x:v>MARKDOWN</x:v>
      </x:c>
      <x:c r="J71" s="13" t="str">
        <x:v>Best</x:v>
      </x:c>
      <x:c r="K71" s="13" t="n">
        <x:v>37</x:v>
      </x:c>
      <x:c r="L71" s="141"/>
      <x:c r="M71" s="141"/>
      <x:c r="N71" s="141"/>
      <x:c r="O71" s="141"/>
      <x:c r="P71" s="141"/>
      <x:c r="Q71" s="141"/>
      <x:c r="R71" s="141"/>
      <x:c r="S71" s="141"/>
      <x:c r="T71" s="141"/>
      <x:c r="U71" s="141"/>
      <x:c r="V71" s="141"/>
      <x:c r="W71" s="141"/>
      <x:c r="X71" s="141"/>
      <x:c r="Y71" s="141"/>
      <x:c r="Z71" s="141"/>
      <x:c r="AA71" s="141"/>
      <x:c r="AB71" s="141"/>
      <x:c r="AC71" s="141"/>
      <x:c r="AD71" s="141"/>
      <x:c r="AE71" s="141"/>
    </x:row>
    <x:row r="72" ht="21" customHeight="1">
      <x:c r="A72" s="13" t="str">
        <x:v>CHR1966</x:v>
      </x:c>
      <x:c r="B72" s="13" t="str">
        <x:v>Ridge Glass Atelier</x:v>
      </x:c>
      <x:c r="C72" s="13" t="str">
        <x:v>Christmas Decor</x:v>
      </x:c>
      <x:c r="D72" s="16" t="n">
        <x:v>454.3</x:v>
      </x:c>
      <x:c r="E72" s="19" t="n">
        <x:v>0.541</x:v>
      </x:c>
      <x:c r="F72" s="19" t="n">
        <x:v>0.3077</x:v>
      </x:c>
      <x:c r="G72" s="22" t="n">
        <x:v>71.7</x:v>
      </x:c>
      <x:c r="H72" s="16" t="n">
        <x:v>469.17</x:v>
      </x:c>
      <x:c r="I72" s="13" t="str">
        <x:v>MARKDOWN</x:v>
      </x:c>
      <x:c r="J72" s="13" t="str">
        <x:v>Best</x:v>
      </x:c>
      <x:c r="K72" s="13" t="n">
        <x:v>38</x:v>
      </x:c>
      <x:c r="L72" s="141"/>
      <x:c r="M72" s="141"/>
      <x:c r="N72" s="141"/>
      <x:c r="O72" s="141"/>
      <x:c r="P72" s="141"/>
      <x:c r="Q72" s="141"/>
      <x:c r="R72" s="141"/>
      <x:c r="S72" s="141"/>
      <x:c r="T72" s="141"/>
      <x:c r="U72" s="141"/>
      <x:c r="V72" s="141"/>
      <x:c r="W72" s="141"/>
      <x:c r="X72" s="141"/>
      <x:c r="Y72" s="141"/>
      <x:c r="Z72" s="141"/>
      <x:c r="AA72" s="141"/>
      <x:c r="AB72" s="141"/>
      <x:c r="AC72" s="141"/>
      <x:c r="AD72" s="141"/>
      <x:c r="AE72" s="141"/>
    </x:row>
    <x:row r="73" ht="21" customHeight="1">
      <x:c r="A73" s="13" t="str">
        <x:v>CHR1928</x:v>
      </x:c>
      <x:c r="B73" s="13" t="str">
        <x:v>Mira Rattan Studio</x:v>
      </x:c>
      <x:c r="C73" s="13" t="str">
        <x:v>Christmas Decor</x:v>
      </x:c>
      <x:c r="D73" s="16" t="n">
        <x:v>386.02</x:v>
      </x:c>
      <x:c r="E73" s="19" t="n">
        <x:v>0.5211</x:v>
      </x:c>
      <x:c r="F73" s="19" t="n">
        <x:v>0.2727</x:v>
      </x:c>
      <x:c r="G73" s="22" t="n">
        <x:v>85</x:v>
      </x:c>
      <x:c r="H73" s="16" t="n">
        <x:v>492.96</x:v>
      </x:c>
      <x:c r="I73" s="13" t="str">
        <x:v>MARKDOWN</x:v>
      </x:c>
      <x:c r="J73" s="13" t="str">
        <x:v>Best</x:v>
      </x:c>
      <x:c r="K73" s="13" t="n">
        <x:v>39</x:v>
      </x:c>
      <x:c r="L73" s="141"/>
      <x:c r="M73" s="141"/>
      <x:c r="N73" s="141"/>
      <x:c r="O73" s="141"/>
      <x:c r="P73" s="141"/>
      <x:c r="Q73" s="141"/>
      <x:c r="R73" s="141"/>
      <x:c r="S73" s="141"/>
      <x:c r="T73" s="141"/>
      <x:c r="U73" s="141"/>
      <x:c r="V73" s="141"/>
      <x:c r="W73" s="141"/>
      <x:c r="X73" s="141"/>
      <x:c r="Y73" s="141"/>
      <x:c r="Z73" s="141"/>
      <x:c r="AA73" s="141"/>
      <x:c r="AB73" s="141"/>
      <x:c r="AC73" s="141"/>
      <x:c r="AD73" s="141"/>
      <x:c r="AE73" s="141"/>
    </x:row>
    <x:row r="74" ht="21" customHeight="1">
      <x:c r="A74" s="13" t="str">
        <x:v>CHR1929</x:v>
      </x:c>
      <x:c r="B74" s="13" t="str">
        <x:v>Cove Marble Vessel</x:v>
      </x:c>
      <x:c r="C74" s="13" t="str">
        <x:v>Christmas Decor</x:v>
      </x:c>
      <x:c r="D74" s="16" t="n">
        <x:v>292.43</x:v>
      </x:c>
      <x:c r="E74" s="19" t="n">
        <x:v>0.5127</x:v>
      </x:c>
      <x:c r="F74" s="19" t="n">
        <x:v>0.3333</x:v>
      </x:c>
      <x:c r="G74" s="22" t="n">
        <x:v>63.7</x:v>
      </x:c>
      <x:c r="H74" s="16" t="n">
        <x:v>285</x:v>
      </x:c>
      <x:c r="I74" s="13" t="str">
        <x:v>MARKDOWN</x:v>
      </x:c>
      <x:c r="J74" s="13" t="str">
        <x:v>Best</x:v>
      </x:c>
      <x:c r="K74" s="13" t="n">
        <x:v>40</x:v>
      </x:c>
      <x:c r="L74" s="141"/>
      <x:c r="M74" s="141"/>
      <x:c r="N74" s="141"/>
      <x:c r="O74" s="141"/>
      <x:c r="P74" s="141"/>
      <x:c r="Q74" s="141"/>
      <x:c r="R74" s="141"/>
      <x:c r="S74" s="141"/>
      <x:c r="T74" s="141"/>
      <x:c r="U74" s="141"/>
      <x:c r="V74" s="141"/>
      <x:c r="W74" s="141"/>
      <x:c r="X74" s="141"/>
      <x:c r="Y74" s="141"/>
      <x:c r="Z74" s="141"/>
      <x:c r="AA74" s="141"/>
      <x:c r="AB74" s="141"/>
      <x:c r="AC74" s="141"/>
      <x:c r="AD74" s="141"/>
      <x:c r="AE74" s="141"/>
    </x:row>
    <x:row r="75" ht="21" customHeight="1">
      <x:c r="A75" s="13" t="str">
        <x:v>CHR1949</x:v>
      </x:c>
      <x:c r="B75" s="13" t="str">
        <x:v>Vale Rattan Form</x:v>
      </x:c>
      <x:c r="C75" s="13" t="str">
        <x:v>Christmas Decor</x:v>
      </x:c>
      <x:c r="D75" s="16" t="n">
        <x:v>271.22</x:v>
      </x:c>
      <x:c r="E75" s="19" t="n">
        <x:v>0.42</x:v>
      </x:c>
      <x:c r="F75" s="19" t="n">
        <x:v>0.25</x:v>
      </x:c>
      <x:c r="G75" s="22" t="n">
        <x:v>95.6</x:v>
      </x:c>
      <x:c r="H75" s="16" t="n">
        <x:v>471.9</x:v>
      </x:c>
      <x:c r="I75" s="13" t="str">
        <x:v>MARKDOWN</x:v>
      </x:c>
      <x:c r="J75" s="13" t="str">
        <x:v>Best</x:v>
      </x:c>
      <x:c r="K75" s="13" t="n">
        <x:v>41</x:v>
      </x:c>
      <x:c r="L75" s="141"/>
      <x:c r="M75" s="141"/>
      <x:c r="N75" s="141"/>
      <x:c r="O75" s="141"/>
      <x:c r="P75" s="141"/>
      <x:c r="Q75" s="141"/>
      <x:c r="R75" s="141"/>
      <x:c r="S75" s="141"/>
      <x:c r="T75" s="141"/>
      <x:c r="U75" s="141"/>
      <x:c r="V75" s="141"/>
      <x:c r="W75" s="141"/>
      <x:c r="X75" s="141"/>
      <x:c r="Y75" s="141"/>
      <x:c r="Z75" s="141"/>
      <x:c r="AA75" s="141"/>
      <x:c r="AB75" s="141"/>
      <x:c r="AC75" s="141"/>
      <x:c r="AD75" s="141"/>
      <x:c r="AE75" s="141"/>
    </x:row>
    <x:row r="76" ht="21" customHeight="1">
      <x:c r="A76" s="13" t="str">
        <x:v>CHR1958</x:v>
      </x:c>
      <x:c r="B76" s="13" t="str">
        <x:v>Arc Brass Edit</x:v>
      </x:c>
      <x:c r="C76" s="13" t="str">
        <x:v>Christmas Decor</x:v>
      </x:c>
      <x:c r="D76" s="16" t="n">
        <x:v>267.56</x:v>
      </x:c>
      <x:c r="E76" s="19" t="n">
        <x:v>0.4375</x:v>
      </x:c>
      <x:c r="F76" s="19" t="n">
        <x:v>0.2857</x:v>
      </x:c>
      <x:c r="G76" s="22" t="n">
        <x:v>79.6</x:v>
      </x:c>
      <x:c r="H76" s="16" t="n">
        <x:v>376.25</x:v>
      </x:c>
      <x:c r="I76" s="13" t="str">
        <x:v>MARKDOWN</x:v>
      </x:c>
      <x:c r="J76" s="13" t="str">
        <x:v>Best</x:v>
      </x:c>
      <x:c r="K76" s="13" t="n">
        <x:v>42</x:v>
      </x:c>
      <x:c r="L76" s="141"/>
      <x:c r="M76" s="141"/>
      <x:c r="N76" s="141"/>
      <x:c r="O76" s="141"/>
      <x:c r="P76" s="141"/>
      <x:c r="Q76" s="141"/>
      <x:c r="R76" s="141"/>
      <x:c r="S76" s="141"/>
      <x:c r="T76" s="141"/>
      <x:c r="U76" s="141"/>
      <x:c r="V76" s="141"/>
      <x:c r="W76" s="141"/>
      <x:c r="X76" s="141"/>
      <x:c r="Y76" s="141"/>
      <x:c r="Z76" s="141"/>
      <x:c r="AA76" s="141"/>
      <x:c r="AB76" s="141"/>
      <x:c r="AC76" s="141"/>
      <x:c r="AD76" s="141"/>
      <x:c r="AE76" s="141"/>
    </x:row>
    <x:row r="77" ht="21" customHeight="1">
      <x:c r="A77" s="13" t="str">
        <x:v>CHR1950</x:v>
      </x:c>
      <x:c r="B77" s="13" t="str">
        <x:v>Sable Stone Line</x:v>
      </x:c>
      <x:c r="C77" s="13" t="str">
        <x:v>Christmas Decor</x:v>
      </x:c>
      <x:c r="D77" s="16" t="n">
        <x:v>163.74</x:v>
      </x:c>
      <x:c r="E77" s="19" t="n">
        <x:v>0.5371</x:v>
      </x:c>
      <x:c r="F77" s="19" t="n">
        <x:v>0.3333</x:v>
      </x:c>
      <x:c r="G77" s="22" t="n">
        <x:v>63.7</x:v>
      </x:c>
      <x:c r="H77" s="16" t="n">
        <x:v>151.6</x:v>
      </x:c>
      <x:c r="I77" s="13" t="str">
        <x:v>MARKDOWN</x:v>
      </x:c>
      <x:c r="J77" s="13" t="str">
        <x:v>Better</x:v>
      </x:c>
      <x:c r="K77" s="13" t="n">
        <x:v>43</x:v>
      </x:c>
      <x:c r="L77" s="141"/>
      <x:c r="M77" s="141"/>
      <x:c r="N77" s="141"/>
      <x:c r="O77" s="141"/>
      <x:c r="P77" s="141"/>
      <x:c r="Q77" s="141"/>
      <x:c r="R77" s="141"/>
      <x:c r="S77" s="141"/>
      <x:c r="T77" s="141"/>
      <x:c r="U77" s="141"/>
      <x:c r="V77" s="141"/>
      <x:c r="W77" s="141"/>
      <x:c r="X77" s="141"/>
      <x:c r="Y77" s="141"/>
      <x:c r="Z77" s="141"/>
      <x:c r="AA77" s="141"/>
      <x:c r="AB77" s="141"/>
      <x:c r="AC77" s="141"/>
      <x:c r="AD77" s="141"/>
      <x:c r="AE77" s="141"/>
    </x:row>
    <x:row r="78" ht="21" customHeight="1">
      <x:c r="A78" s="13" t="str">
        <x:v>HAL2003</x:v>
      </x:c>
      <x:c r="B78" s="13" t="str">
        <x:v>Ridge Rattan Collection</x:v>
      </x:c>
      <x:c r="C78" s="13" t="str">
        <x:v>Halloween</x:v>
      </x:c>
      <x:c r="D78" s="16" t="n">
        <x:v>136.62</x:v>
      </x:c>
      <x:c r="E78" s="19" t="n">
        <x:v>0.5674</x:v>
      </x:c>
      <x:c r="F78" s="19" t="n">
        <x:v>0.2857</x:v>
      </x:c>
      <x:c r="G78" s="22" t="n">
        <x:v>79.6</x:v>
      </x:c>
      <x:c r="H78" s="16" t="n">
        <x:v>147.75</x:v>
      </x:c>
      <x:c r="I78" s="13" t="str">
        <x:v>MARKDOWN</x:v>
      </x:c>
      <x:c r="J78" s="13" t="str">
        <x:v>Better</x:v>
      </x:c>
      <x:c r="K78" s="13" t="n">
        <x:v>44</x:v>
      </x:c>
      <x:c r="L78" s="141"/>
      <x:c r="M78" s="141"/>
      <x:c r="N78" s="141"/>
      <x:c r="O78" s="141"/>
      <x:c r="P78" s="141"/>
      <x:c r="Q78" s="141"/>
      <x:c r="R78" s="141"/>
      <x:c r="S78" s="141"/>
      <x:c r="T78" s="141"/>
      <x:c r="U78" s="141"/>
      <x:c r="V78" s="141"/>
      <x:c r="W78" s="141"/>
      <x:c r="X78" s="141"/>
      <x:c r="Y78" s="141"/>
      <x:c r="Z78" s="141"/>
      <x:c r="AA78" s="141"/>
      <x:c r="AB78" s="141"/>
      <x:c r="AC78" s="141"/>
      <x:c r="AD78" s="141"/>
      <x:c r="AE78" s="141"/>
    </x:row>
    <x:row r="79" ht="21" customHeight="1">
      <x:c r="A79" s="13" t="str">
        <x:v>CHR1965</x:v>
      </x:c>
      <x:c r="B79" s="13" t="str">
        <x:v>Noir Oak Series</x:v>
      </x:c>
      <x:c r="C79" s="13" t="str">
        <x:v>Christmas Decor</x:v>
      </x:c>
      <x:c r="D79" s="16" t="n">
        <x:v>97.01</x:v>
      </x:c>
      <x:c r="E79" s="19" t="n">
        <x:v>0.5928</x:v>
      </x:c>
      <x:c r="F79" s="19" t="n">
        <x:v>0.2857</x:v>
      </x:c>
      <x:c r="G79" s="22" t="n">
        <x:v>79.6</x:v>
      </x:c>
      <x:c r="H79" s="16" t="n">
        <x:v>98.75</x:v>
      </x:c>
      <x:c r="I79" s="13" t="str">
        <x:v>MARKDOWN</x:v>
      </x:c>
      <x:c r="J79" s="13" t="str">
        <x:v>Better</x:v>
      </x:c>
      <x:c r="K79" s="13" t="n">
        <x:v>45</x:v>
      </x:c>
      <x:c r="L79" s="141"/>
      <x:c r="M79" s="141"/>
      <x:c r="N79" s="141"/>
      <x:c r="O79" s="141"/>
      <x:c r="P79" s="141"/>
      <x:c r="Q79" s="141"/>
      <x:c r="R79" s="141"/>
      <x:c r="S79" s="141"/>
      <x:c r="T79" s="141"/>
      <x:c r="U79" s="141"/>
      <x:c r="V79" s="141"/>
      <x:c r="W79" s="141"/>
      <x:c r="X79" s="141"/>
      <x:c r="Y79" s="141"/>
      <x:c r="Z79" s="141"/>
      <x:c r="AA79" s="141"/>
      <x:c r="AB79" s="141"/>
      <x:c r="AC79" s="141"/>
      <x:c r="AD79" s="141"/>
      <x:c r="AE79" s="141"/>
    </x:row>
    <x:row r="80" ht="21" customHeight="1">
      <x:c r="A80" s="13" t="str">
        <x:v>CHR1967</x:v>
      </x:c>
      <x:c r="B80" s="13" t="str">
        <x:v>Mira Oak Series</x:v>
      </x:c>
      <x:c r="C80" s="13" t="str">
        <x:v>Christmas Decor</x:v>
      </x:c>
      <x:c r="D80" s="16" t="n">
        <x:v>86.81</x:v>
      </x:c>
      <x:c r="E80" s="19" t="n">
        <x:v>0.5157</x:v>
      </x:c>
      <x:c r="F80" s="19" t="n">
        <x:v>0.25</x:v>
      </x:c>
      <x:c r="G80" s="22" t="n">
        <x:v>95.6</x:v>
      </x:c>
      <x:c r="H80" s="16" t="n">
        <x:v>126.12</x:v>
      </x:c>
      <x:c r="I80" s="13" t="str">
        <x:v>MARKDOWN</x:v>
      </x:c>
      <x:c r="J80" s="13" t="str">
        <x:v>Better</x:v>
      </x:c>
      <x:c r="K80" s="13" t="n">
        <x:v>46</x:v>
      </x:c>
      <x:c r="L80" s="141"/>
      <x:c r="M80" s="141"/>
      <x:c r="N80" s="141"/>
      <x:c r="O80" s="141"/>
      <x:c r="P80" s="141"/>
      <x:c r="Q80" s="141"/>
      <x:c r="R80" s="141"/>
      <x:c r="S80" s="141"/>
      <x:c r="T80" s="141"/>
      <x:c r="U80" s="141"/>
      <x:c r="V80" s="141"/>
      <x:c r="W80" s="141"/>
      <x:c r="X80" s="141"/>
      <x:c r="Y80" s="141"/>
      <x:c r="Z80" s="141"/>
      <x:c r="AA80" s="141"/>
      <x:c r="AB80" s="141"/>
      <x:c r="AC80" s="141"/>
      <x:c r="AD80" s="141"/>
      <x:c r="AE80" s="141"/>
    </x:row>
    <x:row r="81" ht="21" customHeight="1">
      <x:c r="A81" s="13" t="str">
        <x:v>HAL1999</x:v>
      </x:c>
      <x:c r="B81" s="13" t="str">
        <x:v>Marlow Linen Studio</x:v>
      </x:c>
      <x:c r="C81" s="13" t="str">
        <x:v>Halloween</x:v>
      </x:c>
      <x:c r="D81" s="16" t="n">
        <x:v>81.14</x:v>
      </x:c>
      <x:c r="E81" s="19" t="n">
        <x:v>0.5428</x:v>
      </x:c>
      <x:c r="F81" s="19" t="n">
        <x:v>0.3333</x:v>
      </x:c>
      <x:c r="G81" s="22" t="n">
        <x:v>63.7</x:v>
      </x:c>
      <x:c r="H81" s="16" t="n">
        <x:v>74.2</x:v>
      </x:c>
      <x:c r="I81" s="13" t="str">
        <x:v>MARKDOWN</x:v>
      </x:c>
      <x:c r="J81" s="13" t="str">
        <x:v>Best</x:v>
      </x:c>
      <x:c r="K81" s="13" t="n">
        <x:v>47</x:v>
      </x:c>
      <x:c r="L81" s="144"/>
      <x:c r="M81" s="144"/>
      <x:c r="N81" s="144"/>
      <x:c r="O81" s="144"/>
      <x:c r="P81" s="144"/>
      <x:c r="Q81" s="144"/>
      <x:c r="R81" s="144"/>
      <x:c r="S81" s="144"/>
      <x:c r="T81" s="144"/>
      <x:c r="U81" s="144"/>
      <x:c r="V81" s="144"/>
      <x:c r="W81" s="144"/>
      <x:c r="X81" s="144"/>
      <x:c r="Y81" s="144"/>
      <x:c r="Z81" s="144"/>
      <x:c r="AA81" s="144"/>
      <x:c r="AB81" s="144"/>
      <x:c r="AC81" s="144"/>
      <x:c r="AD81" s="144"/>
      <x:c r="AE81" s="144"/>
    </x:row>
    <x:row r="82" ht="21" customHeight="1">
      <x:c r="A82" s="13" t="str">
        <x:v>HAL2015</x:v>
      </x:c>
      <x:c r="B82" s="13" t="str">
        <x:v>Mira Ceramic Collection</x:v>
      </x:c>
      <x:c r="C82" s="13" t="str">
        <x:v>Halloween</x:v>
      </x:c>
      <x:c r="D82" s="16" t="n">
        <x:v>76.04</x:v>
      </x:c>
      <x:c r="E82" s="19" t="n">
        <x:v>0.5439</x:v>
      </x:c>
      <x:c r="F82" s="19" t="n">
        <x:v>0.2857</x:v>
      </x:c>
      <x:c r="G82" s="22" t="n">
        <x:v>79.6</x:v>
      </x:c>
      <x:c r="H82" s="16" t="n">
        <x:v>86.7</x:v>
      </x:c>
      <x:c r="I82" s="13" t="str">
        <x:v>MARKDOWN</x:v>
      </x:c>
      <x:c r="J82" s="13" t="str">
        <x:v>Better</x:v>
      </x:c>
      <x:c r="K82" s="13" t="n">
        <x:v>48</x:v>
      </x:c>
      <x:c r="L82" s="144"/>
      <x:c r="M82" s="144"/>
      <x:c r="N82" s="144"/>
      <x:c r="O82" s="144"/>
      <x:c r="P82" s="144"/>
      <x:c r="Q82" s="144"/>
      <x:c r="R82" s="144"/>
      <x:c r="S82" s="144"/>
      <x:c r="T82" s="144"/>
      <x:c r="U82" s="144"/>
      <x:c r="V82" s="144"/>
      <x:c r="W82" s="144"/>
      <x:c r="X82" s="144"/>
      <x:c r="Y82" s="144"/>
      <x:c r="Z82" s="144"/>
      <x:c r="AA82" s="144"/>
      <x:c r="AB82" s="144"/>
      <x:c r="AC82" s="144"/>
      <x:c r="AD82" s="144"/>
      <x:c r="AE82" s="144"/>
    </x:row>
    <x:row r="83" ht="21" customHeight="1">
      <x:c r="A83" s="13" t="str">
        <x:v>WAL0334</x:v>
      </x:c>
      <x:c r="B83" s="13" t="str">
        <x:v>Mira Rattan Collection</x:v>
      </x:c>
      <x:c r="C83" s="13" t="str">
        <x:v>Wall Decor</x:v>
      </x:c>
      <x:c r="D83" s="16" t="n">
        <x:v>46.11</x:v>
      </x:c>
      <x:c r="E83" s="19" t="n">
        <x:v>0.4828</x:v>
      </x:c>
      <x:c r="F83" s="19" t="n">
        <x:v>0.3333</x:v>
      </x:c>
      <x:c r="G83" s="22" t="n">
        <x:v>63.7</x:v>
      </x:c>
      <x:c r="H83" s="16" t="n">
        <x:v>47.7</x:v>
      </x:c>
      <x:c r="I83" s="13" t="str">
        <x:v>MARKDOWN</x:v>
      </x:c>
      <x:c r="J83" s="13" t="str">
        <x:v>Better</x:v>
      </x:c>
      <x:c r="K83" s="13" t="n">
        <x:v>49</x:v>
      </x:c>
      <x:c r="L83" s="144"/>
      <x:c r="M83" s="144"/>
      <x:c r="N83" s="144"/>
      <x:c r="O83" s="144"/>
      <x:c r="P83" s="144"/>
      <x:c r="Q83" s="144"/>
      <x:c r="R83" s="144"/>
      <x:c r="S83" s="144"/>
      <x:c r="T83" s="144"/>
      <x:c r="U83" s="144"/>
      <x:c r="V83" s="144"/>
      <x:c r="W83" s="144"/>
      <x:c r="X83" s="144"/>
      <x:c r="Y83" s="144"/>
      <x:c r="Z83" s="144"/>
      <x:c r="AA83" s="144"/>
      <x:c r="AB83" s="144"/>
      <x:c r="AC83" s="144"/>
      <x:c r="AD83" s="144"/>
      <x:c r="AE83" s="144"/>
    </x:row>
    <x:row r="84" ht="21" customHeight="1">
      <x:c r="A84" s="13" t="str">
        <x:v>MIR0364</x:v>
      </x:c>
      <x:c r="B84" s="13" t="str">
        <x:v>Arc Glass House</x:v>
      </x:c>
      <x:c r="C84" s="13" t="str">
        <x:v>Mirrors</x:v>
      </x:c>
      <x:c r="D84" s="16" t="n">
        <x:v>853.29</x:v>
      </x:c>
      <x:c r="E84" s="19" t="n">
        <x:v>0.4821</x:v>
      </x:c>
      <x:c r="F84" s="19" t="n">
        <x:v>0.4167</x:v>
      </x:c>
      <x:c r="G84" s="22" t="n">
        <x:v>44.6</x:v>
      </x:c>
      <x:c r="H84" s="16" t="n">
        <x:v>618.73</x:v>
      </x:c>
      <x:c r="I84" s="13" t="str">
        <x:v>TRANSFER</x:v>
      </x:c>
      <x:c r="J84" s="13" t="str">
        <x:v>Best</x:v>
      </x:c>
      <x:c r="K84" s="13" t="n">
        <x:v>50</x:v>
      </x:c>
      <x:c r="L84" s="144"/>
      <x:c r="M84" s="144"/>
      <x:c r="N84" s="144"/>
      <x:c r="O84" s="144"/>
      <x:c r="P84" s="144"/>
      <x:c r="Q84" s="144"/>
      <x:c r="R84" s="144"/>
      <x:c r="S84" s="144"/>
      <x:c r="T84" s="144"/>
      <x:c r="U84" s="144"/>
      <x:c r="V84" s="144"/>
      <x:c r="W84" s="144"/>
      <x:c r="X84" s="144"/>
      <x:c r="Y84" s="144"/>
      <x:c r="Z84" s="144"/>
      <x:c r="AA84" s="144"/>
      <x:c r="AB84" s="144"/>
      <x:c r="AC84" s="144"/>
      <x:c r="AD84" s="144"/>
      <x:c r="AE84" s="144"/>
    </x:row>
    <x:row r="85" ht="21" customHeight="1">
      <x:c r="A85" s="13" t="str">
        <x:v>CHR1924</x:v>
      </x:c>
      <x:c r="B85" s="13" t="str">
        <x:v>Luna Ceramic Form</x:v>
      </x:c>
      <x:c r="C85" s="13" t="str">
        <x:v>Christmas Decor</x:v>
      </x:c>
      <x:c r="D85" s="16" t="n">
        <x:v>796.99</x:v>
      </x:c>
      <x:c r="E85" s="19" t="n">
        <x:v>0.4946</x:v>
      </x:c>
      <x:c r="F85" s="19" t="n">
        <x:v>0.4545</x:v>
      </x:c>
      <x:c r="G85" s="22" t="n">
        <x:v>38.2</x:v>
      </x:c>
      <x:c r="H85" s="16" t="n">
        <x:v>483.36</x:v>
      </x:c>
      <x:c r="I85" s="13" t="str">
        <x:v>TRANSFER</x:v>
      </x:c>
      <x:c r="J85" s="13" t="str">
        <x:v>Best</x:v>
      </x:c>
      <x:c r="K85" s="13" t="n">
        <x:v>51</x:v>
      </x:c>
      <x:c r="L85" s="144"/>
      <x:c r="M85" s="144"/>
      <x:c r="N85" s="144"/>
      <x:c r="O85" s="144"/>
      <x:c r="P85" s="144"/>
      <x:c r="Q85" s="144"/>
      <x:c r="R85" s="144"/>
      <x:c r="S85" s="144"/>
      <x:c r="T85" s="144"/>
      <x:c r="U85" s="144"/>
      <x:c r="V85" s="144"/>
      <x:c r="W85" s="144"/>
      <x:c r="X85" s="144"/>
      <x:c r="Y85" s="144"/>
      <x:c r="Z85" s="144"/>
      <x:c r="AA85" s="144"/>
      <x:c r="AB85" s="144"/>
      <x:c r="AC85" s="144"/>
      <x:c r="AD85" s="144"/>
      <x:c r="AE85" s="144"/>
    </x:row>
    <x:row r="86" ht="21" customHeight="1">
      <x:c r="A86" s="13" t="str">
        <x:v>CHR1971</x:v>
      </x:c>
      <x:c r="B86" s="13" t="str">
        <x:v>Marlow Stone Studio</x:v>
      </x:c>
      <x:c r="C86" s="13" t="str">
        <x:v>Christmas Decor</x:v>
      </x:c>
      <x:c r="D86" s="16" t="n">
        <x:v>657.64</x:v>
      </x:c>
      <x:c r="E86" s="19" t="n">
        <x:v>0.5924</x:v>
      </x:c>
      <x:c r="F86" s="19" t="n">
        <x:v>0.3636</x:v>
      </x:c>
      <x:c r="G86" s="22" t="n">
        <x:v>55.8</x:v>
      </x:c>
      <x:c r="H86" s="16" t="n">
        <x:v>469.07</x:v>
      </x:c>
      <x:c r="I86" s="13" t="str">
        <x:v>TRANSFER</x:v>
      </x:c>
      <x:c r="J86" s="13" t="str">
        <x:v>Best</x:v>
      </x:c>
      <x:c r="K86" s="13" t="n">
        <x:v>52</x:v>
      </x:c>
      <x:c r="L86" s="144"/>
      <x:c r="M86" s="144"/>
      <x:c r="N86" s="144"/>
      <x:c r="O86" s="144"/>
      <x:c r="P86" s="144"/>
      <x:c r="Q86" s="144"/>
      <x:c r="R86" s="144"/>
      <x:c r="S86" s="144"/>
      <x:c r="T86" s="144"/>
      <x:c r="U86" s="144"/>
      <x:c r="V86" s="144"/>
      <x:c r="W86" s="144"/>
      <x:c r="X86" s="144"/>
      <x:c r="Y86" s="144"/>
      <x:c r="Z86" s="144"/>
      <x:c r="AA86" s="144"/>
      <x:c r="AB86" s="144"/>
      <x:c r="AC86" s="144"/>
      <x:c r="AD86" s="144"/>
      <x:c r="AE86" s="144"/>
    </x:row>
    <x:row r="87" ht="21" customHeight="1">
      <x:c r="A87" s="13" t="str">
        <x:v>HAL1991</x:v>
      </x:c>
      <x:c r="B87" s="13" t="str">
        <x:v>Noir Glass House</x:v>
      </x:c>
      <x:c r="C87" s="13" t="str">
        <x:v>Halloween</x:v>
      </x:c>
      <x:c r="D87" s="16" t="n">
        <x:v>628.32</x:v>
      </x:c>
      <x:c r="E87" s="19" t="n">
        <x:v>0.5852</x:v>
      </x:c>
      <x:c r="F87" s="19" t="n">
        <x:v>0.4444</x:v>
      </x:c>
      <x:c r="G87" s="22" t="n">
        <x:v>39.8</x:v>
      </x:c>
      <x:c r="H87" s="16" t="n">
        <x:v>325.8</x:v>
      </x:c>
      <x:c r="I87" s="13" t="str">
        <x:v>TRANSFER</x:v>
      </x:c>
      <x:c r="J87" s="13" t="str">
        <x:v>Best</x:v>
      </x:c>
      <x:c r="K87" s="13" t="n">
        <x:v>53</x:v>
      </x:c>
      <x:c r="L87" s="144"/>
      <x:c r="M87" s="144"/>
      <x:c r="N87" s="144"/>
      <x:c r="O87" s="144"/>
      <x:c r="P87" s="144"/>
      <x:c r="Q87" s="144"/>
      <x:c r="R87" s="144"/>
      <x:c r="S87" s="144"/>
      <x:c r="T87" s="144"/>
      <x:c r="U87" s="144"/>
      <x:c r="V87" s="144"/>
      <x:c r="W87" s="144"/>
      <x:c r="X87" s="144"/>
      <x:c r="Y87" s="144"/>
      <x:c r="Z87" s="144"/>
      <x:c r="AA87" s="144"/>
      <x:c r="AB87" s="144"/>
      <x:c r="AC87" s="144"/>
      <x:c r="AD87" s="144"/>
      <x:c r="AE87" s="144"/>
    </x:row>
    <x:row r="88" ht="21" customHeight="1">
      <x:c r="A88" s="13" t="str">
        <x:v>TAB0844</x:v>
      </x:c>
      <x:c r="B88" s="13" t="str">
        <x:v>Vale Linen Atelier</x:v>
      </x:c>
      <x:c r="C88" s="13" t="str">
        <x:v>Tables</x:v>
      </x:c>
      <x:c r="D88" s="16" t="n">
        <x:v>576.73</x:v>
      </x:c>
      <x:c r="E88" s="19" t="n">
        <x:v>0.5072</x:v>
      </x:c>
      <x:c r="F88" s="19" t="n">
        <x:v>0.4286</x:v>
      </x:c>
      <x:c r="G88" s="22" t="n">
        <x:v>42.5</x:v>
      </x:c>
      <x:c r="H88" s="16" t="n">
        <x:v>378.92</x:v>
      </x:c>
      <x:c r="I88" s="13" t="str">
        <x:v>TRANSFER</x:v>
      </x:c>
      <x:c r="J88" s="13" t="str">
        <x:v>Best</x:v>
      </x:c>
      <x:c r="K88" s="13" t="n">
        <x:v>54</x:v>
      </x:c>
      <x:c r="L88" s="144"/>
      <x:c r="M88" s="144"/>
      <x:c r="N88" s="144"/>
      <x:c r="O88" s="144"/>
      <x:c r="P88" s="144"/>
      <x:c r="Q88" s="144"/>
      <x:c r="R88" s="144"/>
      <x:c r="S88" s="144"/>
      <x:c r="T88" s="144"/>
      <x:c r="U88" s="144"/>
      <x:c r="V88" s="144"/>
      <x:c r="W88" s="144"/>
      <x:c r="X88" s="144"/>
      <x:c r="Y88" s="144"/>
      <x:c r="Z88" s="144"/>
      <x:c r="AA88" s="144"/>
      <x:c r="AB88" s="144"/>
      <x:c r="AC88" s="144"/>
      <x:c r="AD88" s="144"/>
      <x:c r="AE88" s="144"/>
    </x:row>
    <x:row r="89" ht="21" customHeight="1">
      <x:c r="A89" s="13" t="str">
        <x:v>DEC0118</x:v>
      </x:c>
      <x:c r="B89" s="13" t="str">
        <x:v>Marlow Brass Studio</x:v>
      </x:c>
      <x:c r="C89" s="13" t="str">
        <x:v>Decorative Objects</x:v>
      </x:c>
      <x:c r="D89" s="16" t="n">
        <x:v>477.25</x:v>
      </x:c>
      <x:c r="E89" s="19" t="n">
        <x:v>0.5228</x:v>
      </x:c>
      <x:c r="F89" s="19" t="n">
        <x:v>0.4167</x:v>
      </x:c>
      <x:c r="G89" s="22" t="n">
        <x:v>44.6</x:v>
      </x:c>
      <x:c r="H89" s="16" t="n">
        <x:v>318.85</x:v>
      </x:c>
      <x:c r="I89" s="13" t="str">
        <x:v>TRANSFER</x:v>
      </x:c>
      <x:c r="J89" s="13" t="str">
        <x:v>Best</x:v>
      </x:c>
      <x:c r="K89" s="13" t="n">
        <x:v>55</x:v>
      </x:c>
      <x:c r="L89" s="144"/>
      <x:c r="M89" s="144"/>
      <x:c r="N89" s="144"/>
      <x:c r="O89" s="144"/>
      <x:c r="P89" s="144"/>
      <x:c r="Q89" s="144"/>
      <x:c r="R89" s="144"/>
      <x:c r="S89" s="144"/>
      <x:c r="T89" s="144"/>
      <x:c r="U89" s="144"/>
      <x:c r="V89" s="144"/>
      <x:c r="W89" s="144"/>
      <x:c r="X89" s="144"/>
      <x:c r="Y89" s="144"/>
      <x:c r="Z89" s="144"/>
      <x:c r="AA89" s="144"/>
      <x:c r="AB89" s="144"/>
      <x:c r="AC89" s="144"/>
      <x:c r="AD89" s="144"/>
      <x:c r="AE89" s="144"/>
    </x:row>
    <x:row r="90" ht="21" customHeight="1">
      <x:c r="A90" s="13" t="str">
        <x:v>CHR1943</x:v>
      </x:c>
      <x:c r="B90" s="13" t="str">
        <x:v>Arc Oak House</x:v>
      </x:c>
      <x:c r="C90" s="13" t="str">
        <x:v>Christmas Decor</x:v>
      </x:c>
      <x:c r="D90" s="16" t="n">
        <x:v>435.18</x:v>
      </x:c>
      <x:c r="E90" s="19" t="n">
        <x:v>0.5504</x:v>
      </x:c>
      <x:c r="F90" s="19" t="n">
        <x:v>0.4286</x:v>
      </x:c>
      <x:c r="G90" s="22" t="n">
        <x:v>42.5</x:v>
      </x:c>
      <x:c r="H90" s="16" t="n">
        <x:v>260.88</x:v>
      </x:c>
      <x:c r="I90" s="13" t="str">
        <x:v>TRANSFER</x:v>
      </x:c>
      <x:c r="J90" s="13" t="str">
        <x:v>Best</x:v>
      </x:c>
      <x:c r="K90" s="13" t="n">
        <x:v>56</x:v>
      </x:c>
      <x:c r="L90" s="144"/>
      <x:c r="M90" s="144"/>
      <x:c r="N90" s="144"/>
      <x:c r="O90" s="144"/>
      <x:c r="P90" s="144"/>
      <x:c r="Q90" s="144"/>
      <x:c r="R90" s="144"/>
      <x:c r="S90" s="144"/>
      <x:c r="T90" s="144"/>
      <x:c r="U90" s="144"/>
      <x:c r="V90" s="144"/>
      <x:c r="W90" s="144"/>
      <x:c r="X90" s="144"/>
      <x:c r="Y90" s="144"/>
      <x:c r="Z90" s="144"/>
      <x:c r="AA90" s="144"/>
      <x:c r="AB90" s="144"/>
      <x:c r="AC90" s="144"/>
      <x:c r="AD90" s="144"/>
      <x:c r="AE90" s="144"/>
    </x:row>
    <x:row r="91" ht="21" customHeight="1">
      <x:c r="A91" s="13" t="str">
        <x:v>HAL1990</x:v>
      </x:c>
      <x:c r="B91" s="13" t="str">
        <x:v>Cove Rattan Vessel</x:v>
      </x:c>
      <x:c r="C91" s="13" t="str">
        <x:v>Halloween</x:v>
      </x:c>
      <x:c r="D91" s="16" t="n">
        <x:v>415.2</x:v>
      </x:c>
      <x:c r="E91" s="19" t="n">
        <x:v>0.4715</x:v>
      </x:c>
      <x:c r="F91" s="19" t="n">
        <x:v>0.4211</x:v>
      </x:c>
      <x:c r="G91" s="22" t="n">
        <x:v>43.8</x:v>
      </x:c>
      <x:c r="H91" s="16" t="n">
        <x:v>301.73</x:v>
      </x:c>
      <x:c r="I91" s="13" t="str">
        <x:v>TRANSFER</x:v>
      </x:c>
      <x:c r="J91" s="13" t="str">
        <x:v>Better</x:v>
      </x:c>
      <x:c r="K91" s="13" t="n">
        <x:v>57</x:v>
      </x:c>
      <x:c r="L91" s="144"/>
      <x:c r="M91" s="144"/>
      <x:c r="N91" s="144"/>
      <x:c r="O91" s="144"/>
      <x:c r="P91" s="144"/>
      <x:c r="Q91" s="144"/>
      <x:c r="R91" s="144"/>
      <x:c r="S91" s="144"/>
      <x:c r="T91" s="144"/>
      <x:c r="U91" s="144"/>
      <x:c r="V91" s="144"/>
      <x:c r="W91" s="144"/>
      <x:c r="X91" s="144"/>
      <x:c r="Y91" s="144"/>
      <x:c r="Z91" s="144"/>
      <x:c r="AA91" s="144"/>
      <x:c r="AB91" s="144"/>
      <x:c r="AC91" s="144"/>
      <x:c r="AD91" s="144"/>
      <x:c r="AE91" s="144"/>
    </x:row>
    <x:row r="92" ht="21" customHeight="1">
      <x:c r="A92" s="13" t="str">
        <x:v>CHR1937</x:v>
      </x:c>
      <x:c r="B92" s="13" t="str">
        <x:v>Noir Oak Atelier</x:v>
      </x:c>
      <x:c r="C92" s="13" t="str">
        <x:v>Christmas Decor</x:v>
      </x:c>
      <x:c r="D92" s="16" t="n">
        <x:v>387.15</x:v>
      </x:c>
      <x:c r="E92" s="19" t="n">
        <x:v>0.3806</x:v>
      </x:c>
      <x:c r="F92" s="19" t="n">
        <x:v>0.4286</x:v>
      </x:c>
      <x:c r="G92" s="22" t="n">
        <x:v>42.5</x:v>
      </x:c>
      <x:c r="H92" s="16" t="n">
        <x:v>319.76</x:v>
      </x:c>
      <x:c r="I92" s="13" t="str">
        <x:v>TRANSFER</x:v>
      </x:c>
      <x:c r="J92" s="13" t="str">
        <x:v>Best</x:v>
      </x:c>
      <x:c r="K92" s="13" t="n">
        <x:v>58</x:v>
      </x:c>
      <x:c r="L92" s="144"/>
      <x:c r="M92" s="144"/>
      <x:c r="N92" s="144"/>
      <x:c r="O92" s="144"/>
      <x:c r="P92" s="144"/>
      <x:c r="Q92" s="144"/>
      <x:c r="R92" s="144"/>
      <x:c r="S92" s="144"/>
      <x:c r="T92" s="144"/>
      <x:c r="U92" s="144"/>
      <x:c r="V92" s="144"/>
      <x:c r="W92" s="144"/>
      <x:c r="X92" s="144"/>
      <x:c r="Y92" s="144"/>
      <x:c r="Z92" s="144"/>
      <x:c r="AA92" s="144"/>
      <x:c r="AB92" s="144"/>
      <x:c r="AC92" s="144"/>
      <x:c r="AD92" s="144"/>
      <x:c r="AE92" s="144"/>
    </x:row>
    <x:row r="93" ht="21" customHeight="1">
      <x:c r="A93" s="13" t="str">
        <x:v>CHR1945</x:v>
      </x:c>
      <x:c r="B93" s="13" t="str">
        <x:v>Vale Marble Edit</x:v>
      </x:c>
      <x:c r="C93" s="13" t="str">
        <x:v>Christmas Decor</x:v>
      </x:c>
      <x:c r="D93" s="16" t="n">
        <x:v>353.13</x:v>
      </x:c>
      <x:c r="E93" s="19" t="n">
        <x:v>0.5797</x:v>
      </x:c>
      <x:c r="F93" s="19" t="n">
        <x:v>0.375</x:v>
      </x:c>
      <x:c r="G93" s="22" t="n">
        <x:v>53.1</x:v>
      </x:c>
      <x:c r="H93" s="16" t="n">
        <x:v>247.35</x:v>
      </x:c>
      <x:c r="I93" s="13" t="str">
        <x:v>TRANSFER</x:v>
      </x:c>
      <x:c r="J93" s="13" t="str">
        <x:v>Best</x:v>
      </x:c>
      <x:c r="K93" s="13" t="n">
        <x:v>59</x:v>
      </x:c>
      <x:c r="L93" s="144"/>
      <x:c r="M93" s="144"/>
      <x:c r="N93" s="144"/>
      <x:c r="O93" s="144"/>
      <x:c r="P93" s="144"/>
      <x:c r="Q93" s="144"/>
      <x:c r="R93" s="144"/>
      <x:c r="S93" s="144"/>
      <x:c r="T93" s="144"/>
      <x:c r="U93" s="144"/>
      <x:c r="V93" s="144"/>
      <x:c r="W93" s="144"/>
      <x:c r="X93" s="144"/>
      <x:c r="Y93" s="144"/>
      <x:c r="Z93" s="144"/>
      <x:c r="AA93" s="144"/>
      <x:c r="AB93" s="144"/>
      <x:c r="AC93" s="144"/>
      <x:c r="AD93" s="144"/>
      <x:c r="AE93" s="144"/>
    </x:row>
    <x:row r="94" ht="21" customHeight="1">
      <x:c r="A94" s="13" t="str">
        <x:v>HAL2007</x:v>
      </x:c>
      <x:c r="B94" s="13" t="str">
        <x:v>Marlow Rattan Edit</x:v>
      </x:c>
      <x:c r="C94" s="13" t="str">
        <x:v>Halloween</x:v>
      </x:c>
      <x:c r="D94" s="16" t="n">
        <x:v>252.54</x:v>
      </x:c>
      <x:c r="E94" s="19" t="n">
        <x:v>0.5741</x:v>
      </x:c>
      <x:c r="F94" s="19" t="n">
        <x:v>0.375</x:v>
      </x:c>
      <x:c r="G94" s="22" t="n">
        <x:v>53.1</x:v>
      </x:c>
      <x:c r="H94" s="16" t="n">
        <x:v>179.25</x:v>
      </x:c>
      <x:c r="I94" s="13" t="str">
        <x:v>TRANSFER</x:v>
      </x:c>
      <x:c r="J94" s="13" t="str">
        <x:v>Best</x:v>
      </x:c>
      <x:c r="K94" s="13" t="n">
        <x:v>60</x:v>
      </x:c>
      <x:c r="L94" s="144"/>
      <x:c r="M94" s="144"/>
      <x:c r="N94" s="144"/>
      <x:c r="O94" s="144"/>
      <x:c r="P94" s="144"/>
      <x:c r="Q94" s="144"/>
      <x:c r="R94" s="144"/>
      <x:c r="S94" s="144"/>
      <x:c r="T94" s="144"/>
      <x:c r="U94" s="144"/>
      <x:c r="V94" s="144"/>
      <x:c r="W94" s="144"/>
      <x:c r="X94" s="144"/>
      <x:c r="Y94" s="144"/>
      <x:c r="Z94" s="144"/>
      <x:c r="AA94" s="144"/>
      <x:c r="AB94" s="144"/>
      <x:c r="AC94" s="144"/>
      <x:c r="AD94" s="144"/>
      <x:c r="AE94" s="144"/>
    </x:row>
    <x:row r="95" ht="21" customHeight="1">
      <x:c r="A95" s="13" t="str">
        <x:v>CHR1944</x:v>
      </x:c>
      <x:c r="B95" s="13" t="str">
        <x:v>Cove Oak Collection</x:v>
      </x:c>
      <x:c r="C95" s="13" t="str">
        <x:v>Christmas Decor</x:v>
      </x:c>
      <x:c r="D95" s="16" t="n">
        <x:v>250.98</x:v>
      </x:c>
      <x:c r="E95" s="19" t="n">
        <x:v>0.5295</x:v>
      </x:c>
      <x:c r="F95" s="19" t="n">
        <x:v>0.375</x:v>
      </x:c>
      <x:c r="G95" s="22" t="n">
        <x:v>53.1</x:v>
      </x:c>
      <x:c r="H95" s="16" t="n">
        <x:v>196.8</x:v>
      </x:c>
      <x:c r="I95" s="13" t="str">
        <x:v>TRANSFER</x:v>
      </x:c>
      <x:c r="J95" s="13" t="str">
        <x:v>Better</x:v>
      </x:c>
      <x:c r="K95" s="13" t="n">
        <x:v>61</x:v>
      </x:c>
      <x:c r="L95" s="144"/>
      <x:c r="M95" s="144"/>
      <x:c r="N95" s="144"/>
      <x:c r="O95" s="144"/>
      <x:c r="P95" s="144"/>
      <x:c r="Q95" s="144"/>
      <x:c r="R95" s="144"/>
      <x:c r="S95" s="144"/>
      <x:c r="T95" s="144"/>
      <x:c r="U95" s="144"/>
      <x:c r="V95" s="144"/>
      <x:c r="W95" s="144"/>
      <x:c r="X95" s="144"/>
      <x:c r="Y95" s="144"/>
      <x:c r="Z95" s="144"/>
      <x:c r="AA95" s="144"/>
      <x:c r="AB95" s="144"/>
      <x:c r="AC95" s="144"/>
      <x:c r="AD95" s="144"/>
      <x:c r="AE95" s="144"/>
    </x:row>
    <x:row r="96" ht="21" customHeight="1">
      <x:c r="A96" s="13" t="str">
        <x:v>HAL2018</x:v>
      </x:c>
      <x:c r="B96" s="13" t="str">
        <x:v>Mira Marble Form</x:v>
      </x:c>
      <x:c r="C96" s="13" t="str">
        <x:v>Halloween</x:v>
      </x:c>
      <x:c r="D96" s="16" t="n">
        <x:v>243.08</x:v>
      </x:c>
      <x:c r="E96" s="19" t="n">
        <x:v>0.4937</x:v>
      </x:c>
      <x:c r="F96" s="19" t="n">
        <x:v>0.4444</x:v>
      </x:c>
      <x:c r="G96" s="22" t="n">
        <x:v>39.8</x:v>
      </x:c>
      <x:c r="H96" s="16" t="n">
        <x:v>153.85</x:v>
      </x:c>
      <x:c r="I96" s="13" t="str">
        <x:v>TRANSFER</x:v>
      </x:c>
      <x:c r="J96" s="13" t="str">
        <x:v>Better</x:v>
      </x:c>
      <x:c r="K96" s="13" t="n">
        <x:v>62</x:v>
      </x:c>
      <x:c r="L96" s="144"/>
      <x:c r="M96" s="144"/>
      <x:c r="N96" s="144"/>
      <x:c r="O96" s="144"/>
      <x:c r="P96" s="144"/>
      <x:c r="Q96" s="144"/>
      <x:c r="R96" s="144"/>
      <x:c r="S96" s="144"/>
      <x:c r="T96" s="144"/>
      <x:c r="U96" s="144"/>
      <x:c r="V96" s="144"/>
      <x:c r="W96" s="144"/>
      <x:c r="X96" s="144"/>
      <x:c r="Y96" s="144"/>
      <x:c r="Z96" s="144"/>
      <x:c r="AA96" s="144"/>
      <x:c r="AB96" s="144"/>
      <x:c r="AC96" s="144"/>
      <x:c r="AD96" s="144"/>
      <x:c r="AE96" s="144"/>
    </x:row>
    <x:row r="97" ht="21" customHeight="1">
      <x:c r="A97" s="13" t="str">
        <x:v>CHR1940</x:v>
      </x:c>
      <x:c r="B97" s="13" t="str">
        <x:v>Luna Cotton Collection</x:v>
      </x:c>
      <x:c r="C97" s="13" t="str">
        <x:v>Christmas Decor</x:v>
      </x:c>
      <x:c r="D97" s="16" t="n">
        <x:v>183.42</x:v>
      </x:c>
      <x:c r="E97" s="19" t="n">
        <x:v>0.5813</x:v>
      </x:c>
      <x:c r="F97" s="19" t="n">
        <x:v>0.375</x:v>
      </x:c>
      <x:c r="G97" s="22" t="n">
        <x:v>53.1</x:v>
      </x:c>
      <x:c r="H97" s="16" t="n">
        <x:v>128</x:v>
      </x:c>
      <x:c r="I97" s="13" t="str">
        <x:v>TRANSFER</x:v>
      </x:c>
      <x:c r="J97" s="13" t="str">
        <x:v>Better</x:v>
      </x:c>
      <x:c r="K97" s="13" t="n">
        <x:v>63</x:v>
      </x:c>
      <x:c r="L97" s="144"/>
      <x:c r="M97" s="144"/>
      <x:c r="N97" s="144"/>
      <x:c r="O97" s="144"/>
      <x:c r="P97" s="144"/>
      <x:c r="Q97" s="144"/>
      <x:c r="R97" s="144"/>
      <x:c r="S97" s="144"/>
      <x:c r="T97" s="144"/>
      <x:c r="U97" s="144"/>
      <x:c r="V97" s="144"/>
      <x:c r="W97" s="144"/>
      <x:c r="X97" s="144"/>
      <x:c r="Y97" s="144"/>
      <x:c r="Z97" s="144"/>
      <x:c r="AA97" s="144"/>
      <x:c r="AB97" s="144"/>
      <x:c r="AC97" s="144"/>
      <x:c r="AD97" s="144"/>
      <x:c r="AE97" s="144"/>
    </x:row>
    <x:row r="98" ht="21" customHeight="1">
      <x:c r="A98" s="13" t="str">
        <x:v>CHR1969</x:v>
      </x:c>
      <x:c r="B98" s="13" t="str">
        <x:v>Arc Marble Collection</x:v>
      </x:c>
      <x:c r="C98" s="13" t="str">
        <x:v>Christmas Decor</x:v>
      </x:c>
      <x:c r="D98" s="16" t="n">
        <x:v>163.69</x:v>
      </x:c>
      <x:c r="E98" s="19" t="n">
        <x:v>0.6143</x:v>
      </x:c>
      <x:c r="F98" s="19" t="n">
        <x:v>0.4375</x:v>
      </x:c>
      <x:c r="G98" s="22" t="n">
        <x:v>41</x:v>
      </x:c>
      <x:c r="H98" s="16" t="n">
        <x:v>81.18</x:v>
      </x:c>
      <x:c r="I98" s="13" t="str">
        <x:v>TRANSFER</x:v>
      </x:c>
      <x:c r="J98" s="13" t="str">
        <x:v>Good</x:v>
      </x:c>
      <x:c r="K98" s="13" t="n">
        <x:v>64</x:v>
      </x:c>
      <x:c r="L98" s="144"/>
      <x:c r="M98" s="144"/>
      <x:c r="N98" s="144"/>
      <x:c r="O98" s="144"/>
      <x:c r="P98" s="144"/>
      <x:c r="Q98" s="144"/>
      <x:c r="R98" s="144"/>
      <x:c r="S98" s="144"/>
      <x:c r="T98" s="144"/>
      <x:c r="U98" s="144"/>
      <x:c r="V98" s="144"/>
      <x:c r="W98" s="144"/>
      <x:c r="X98" s="144"/>
      <x:c r="Y98" s="144"/>
      <x:c r="Z98" s="144"/>
      <x:c r="AA98" s="144"/>
      <x:c r="AB98" s="144"/>
      <x:c r="AC98" s="144"/>
      <x:c r="AD98" s="144"/>
      <x:c r="AE98" s="144"/>
    </x:row>
    <x:row r="99" ht="21" customHeight="1">
      <x:c r="A99" s="13" t="str">
        <x:v>HAL1987</x:v>
      </x:c>
      <x:c r="B99" s="13" t="str">
        <x:v>Ridge Stone Form</x:v>
      </x:c>
      <x:c r="C99" s="13" t="str">
        <x:v>Halloween</x:v>
      </x:c>
      <x:c r="D99" s="16" t="n">
        <x:v>157.09</x:v>
      </x:c>
      <x:c r="E99" s="19" t="n">
        <x:v>0.5384</x:v>
      </x:c>
      <x:c r="F99" s="19" t="n">
        <x:v>0.4444</x:v>
      </x:c>
      <x:c r="G99" s="22" t="n">
        <x:v>39.8</x:v>
      </x:c>
      <x:c r="H99" s="16" t="n">
        <x:v>90.65</x:v>
      </x:c>
      <x:c r="I99" s="13" t="str">
        <x:v>TRANSFER</x:v>
      </x:c>
      <x:c r="J99" s="13" t="str">
        <x:v>Better</x:v>
      </x:c>
      <x:c r="K99" s="13" t="n">
        <x:v>65</x:v>
      </x:c>
      <x:c r="L99" s="144"/>
      <x:c r="M99" s="144"/>
      <x:c r="N99" s="144"/>
      <x:c r="O99" s="144"/>
      <x:c r="P99" s="144"/>
      <x:c r="Q99" s="144"/>
      <x:c r="R99" s="144"/>
      <x:c r="S99" s="144"/>
      <x:c r="T99" s="144"/>
      <x:c r="U99" s="144"/>
      <x:c r="V99" s="144"/>
      <x:c r="W99" s="144"/>
      <x:c r="X99" s="144"/>
      <x:c r="Y99" s="144"/>
      <x:c r="Z99" s="144"/>
      <x:c r="AA99" s="144"/>
      <x:c r="AB99" s="144"/>
      <x:c r="AC99" s="144"/>
      <x:c r="AD99" s="144"/>
      <x:c r="AE99" s="144"/>
    </x:row>
    <x:row r="100" ht="21" customHeight="1">
      <x:c r="A100" s="13" t="str">
        <x:v>CHR1959</x:v>
      </x:c>
      <x:c r="B100" s="13" t="str">
        <x:v>Sable Ceramic Collection</x:v>
      </x:c>
      <x:c r="C100" s="13" t="str">
        <x:v>Christmas Decor</x:v>
      </x:c>
      <x:c r="D100" s="16" t="n">
        <x:v>140.66</x:v>
      </x:c>
      <x:c r="E100" s="19" t="n">
        <x:v>0.4546</x:v>
      </x:c>
      <x:c r="F100" s="19" t="n">
        <x:v>0.4286</x:v>
      </x:c>
      <x:c r="G100" s="22" t="n">
        <x:v>42.5</x:v>
      </x:c>
      <x:c r="H100" s="16" t="n">
        <x:v>102.28</x:v>
      </x:c>
      <x:c r="I100" s="13" t="str">
        <x:v>TRANSFER</x:v>
      </x:c>
      <x:c r="J100" s="13" t="str">
        <x:v>Better</x:v>
      </x:c>
      <x:c r="K100" s="13" t="n">
        <x:v>66</x:v>
      </x:c>
      <x:c r="L100" s="144"/>
      <x:c r="M100" s="144"/>
      <x:c r="N100" s="144"/>
      <x:c r="O100" s="144"/>
      <x:c r="P100" s="144"/>
      <x:c r="Q100" s="144"/>
      <x:c r="R100" s="144"/>
      <x:c r="S100" s="144"/>
      <x:c r="T100" s="144"/>
      <x:c r="U100" s="144"/>
      <x:c r="V100" s="144"/>
      <x:c r="W100" s="144"/>
      <x:c r="X100" s="144"/>
      <x:c r="Y100" s="144"/>
      <x:c r="Z100" s="144"/>
      <x:c r="AA100" s="144"/>
      <x:c r="AB100" s="144"/>
      <x:c r="AC100" s="144"/>
      <x:c r="AD100" s="144"/>
      <x:c r="AE100" s="144"/>
    </x:row>
    <x:row r="101" ht="21" customHeight="1">
      <x:c r="A101" s="13" t="str">
        <x:v>CHR1974</x:v>
      </x:c>
      <x:c r="B101" s="13" t="str">
        <x:v>Arc Cotton Object</x:v>
      </x:c>
      <x:c r="C101" s="13" t="str">
        <x:v>Christmas Decor</x:v>
      </x:c>
      <x:c r="D101" s="16" t="n">
        <x:v>125.02</x:v>
      </x:c>
      <x:c r="E101" s="19" t="n">
        <x:v>0.5375</x:v>
      </x:c>
      <x:c r="F101" s="19" t="n">
        <x:v>0.4375</x:v>
      </x:c>
      <x:c r="G101" s="22" t="n">
        <x:v>41</x:v>
      </x:c>
      <x:c r="H101" s="16" t="n">
        <x:v>74.34</x:v>
      </x:c>
      <x:c r="I101" s="13" t="str">
        <x:v>TRANSFER</x:v>
      </x:c>
      <x:c r="J101" s="13" t="str">
        <x:v>Entry</x:v>
      </x:c>
      <x:c r="K101" s="13" t="n">
        <x:v>67</x:v>
      </x:c>
      <x:c r="L101" s="144"/>
      <x:c r="M101" s="144"/>
      <x:c r="N101" s="144"/>
      <x:c r="O101" s="144"/>
      <x:c r="P101" s="144"/>
      <x:c r="Q101" s="144"/>
      <x:c r="R101" s="144"/>
      <x:c r="S101" s="144"/>
      <x:c r="T101" s="144"/>
      <x:c r="U101" s="144"/>
      <x:c r="V101" s="144"/>
      <x:c r="W101" s="144"/>
      <x:c r="X101" s="144"/>
      <x:c r="Y101" s="144"/>
      <x:c r="Z101" s="144"/>
      <x:c r="AA101" s="144"/>
      <x:c r="AB101" s="144"/>
      <x:c r="AC101" s="144"/>
      <x:c r="AD101" s="144"/>
      <x:c r="AE101" s="144"/>
    </x:row>
    <x:row r="102" ht="21" customHeight="1">
      <x:c r="A102" s="13" t="str">
        <x:v>CHR1953</x:v>
      </x:c>
      <x:c r="B102" s="13" t="str">
        <x:v>Avery Cotton Atelier</x:v>
      </x:c>
      <x:c r="C102" s="13" t="str">
        <x:v>Christmas Decor</x:v>
      </x:c>
      <x:c r="D102" s="16" t="n">
        <x:v>101.3</x:v>
      </x:c>
      <x:c r="E102" s="19" t="n">
        <x:v>0.5109</x:v>
      </x:c>
      <x:c r="F102" s="19" t="n">
        <x:v>0.3571</x:v>
      </x:c>
      <x:c r="G102" s="22" t="n">
        <x:v>57.3</x:v>
      </x:c>
      <x:c r="H102" s="16" t="n">
        <x:v>89.19</x:v>
      </x:c>
      <x:c r="I102" s="13" t="str">
        <x:v>TRANSFER</x:v>
      </x:c>
      <x:c r="J102" s="13" t="str">
        <x:v>Good</x:v>
      </x:c>
      <x:c r="K102" s="13" t="n">
        <x:v>68</x:v>
      </x:c>
      <x:c r="L102" s="144"/>
      <x:c r="M102" s="144"/>
      <x:c r="N102" s="144"/>
      <x:c r="O102" s="144"/>
      <x:c r="P102" s="144"/>
      <x:c r="Q102" s="144"/>
      <x:c r="R102" s="144"/>
      <x:c r="S102" s="144"/>
      <x:c r="T102" s="144"/>
      <x:c r="U102" s="144"/>
      <x:c r="V102" s="144"/>
      <x:c r="W102" s="144"/>
      <x:c r="X102" s="144"/>
      <x:c r="Y102" s="144"/>
      <x:c r="Z102" s="144"/>
      <x:c r="AA102" s="144"/>
      <x:c r="AB102" s="144"/>
      <x:c r="AC102" s="144"/>
      <x:c r="AD102" s="144"/>
      <x:c r="AE102" s="144"/>
    </x:row>
    <x:row r="103" ht="21" customHeight="1">
      <x:c r="A103" s="13" t="str">
        <x:v>HAL1986</x:v>
      </x:c>
      <x:c r="B103" s="13" t="str">
        <x:v>Vale Stone Series</x:v>
      </x:c>
      <x:c r="C103" s="13" t="str">
        <x:v>Halloween</x:v>
      </x:c>
      <x:c r="D103" s="16" t="n">
        <x:v>100.35</x:v>
      </x:c>
      <x:c r="E103" s="19" t="n">
        <x:v>0.5783</x:v>
      </x:c>
      <x:c r="F103" s="19" t="n">
        <x:v>0.4</x:v>
      </x:c>
      <x:c r="G103" s="22" t="n">
        <x:v>47.8</x:v>
      </x:c>
      <x:c r="H103" s="16" t="n">
        <x:v>63.48</x:v>
      </x:c>
      <x:c r="I103" s="13" t="str">
        <x:v>TRANSFER</x:v>
      </x:c>
      <x:c r="J103" s="13" t="str">
        <x:v>Good</x:v>
      </x:c>
      <x:c r="K103" s="13" t="n">
        <x:v>69</x:v>
      </x:c>
      <x:c r="L103" s="144"/>
      <x:c r="M103" s="144"/>
      <x:c r="N103" s="144"/>
      <x:c r="O103" s="144"/>
      <x:c r="P103" s="144"/>
      <x:c r="Q103" s="144"/>
      <x:c r="R103" s="144"/>
      <x:c r="S103" s="144"/>
      <x:c r="T103" s="144"/>
      <x:c r="U103" s="144"/>
      <x:c r="V103" s="144"/>
      <x:c r="W103" s="144"/>
      <x:c r="X103" s="144"/>
      <x:c r="Y103" s="144"/>
      <x:c r="Z103" s="144"/>
      <x:c r="AA103" s="144"/>
      <x:c r="AB103" s="144"/>
      <x:c r="AC103" s="144"/>
      <x:c r="AD103" s="144"/>
      <x:c r="AE103" s="144"/>
    </x:row>
    <x:row r="104" ht="21" customHeight="1">
      <x:c r="A104" s="13" t="str">
        <x:v>HAL2010</x:v>
      </x:c>
      <x:c r="B104" s="13" t="str">
        <x:v>Sable Marble Studio</x:v>
      </x:c>
      <x:c r="C104" s="13" t="str">
        <x:v>Halloween</x:v>
      </x:c>
      <x:c r="D104" s="16" t="n">
        <x:v>83.55</x:v>
      </x:c>
      <x:c r="E104" s="19" t="n">
        <x:v>0.5416</x:v>
      </x:c>
      <x:c r="F104" s="19" t="n">
        <x:v>0.3846</x:v>
      </x:c>
      <x:c r="G104" s="22" t="n">
        <x:v>51</x:v>
      </x:c>
      <x:c r="H104" s="16" t="n">
        <x:v>61.28</x:v>
      </x:c>
      <x:c r="I104" s="13" t="str">
        <x:v>TRANSFER</x:v>
      </x:c>
      <x:c r="J104" s="13" t="str">
        <x:v>Entry</x:v>
      </x:c>
      <x:c r="K104" s="13" t="n">
        <x:v>70</x:v>
      </x:c>
      <x:c r="L104" s="144"/>
      <x:c r="M104" s="144"/>
      <x:c r="N104" s="144"/>
      <x:c r="O104" s="144"/>
      <x:c r="P104" s="144"/>
      <x:c r="Q104" s="144"/>
      <x:c r="R104" s="144"/>
      <x:c r="S104" s="144"/>
      <x:c r="T104" s="144"/>
      <x:c r="U104" s="144"/>
      <x:c r="V104" s="144"/>
      <x:c r="W104" s="144"/>
      <x:c r="X104" s="144"/>
      <x:c r="Y104" s="144"/>
      <x:c r="Z104" s="144"/>
      <x:c r="AA104" s="144"/>
      <x:c r="AB104" s="144"/>
      <x:c r="AC104" s="144"/>
      <x:c r="AD104" s="144"/>
      <x:c r="AE104" s="144"/>
    </x:row>
    <x:row r="105" ht="21" customHeight="1">
      <x:c r="A105" s="13" t="str">
        <x:v>CHR1975</x:v>
      </x:c>
      <x:c r="B105" s="13" t="str">
        <x:v>Cove Stone Form</x:v>
      </x:c>
      <x:c r="C105" s="13" t="str">
        <x:v>Christmas Decor</x:v>
      </x:c>
      <x:c r="D105" s="16" t="n">
        <x:v>67.25</x:v>
      </x:c>
      <x:c r="E105" s="19" t="n">
        <x:v>0.429</x:v>
      </x:c>
      <x:c r="F105" s="19" t="n">
        <x:v>0.1111</x:v>
      </x:c>
      <x:c r="G105" s="22" t="n">
        <x:v>254.9</x:v>
      </x:c>
      <x:c r="H105" s="16" t="n">
        <x:v>307.2</x:v>
      </x:c>
      <x:c r="I105" s="13" t="str">
        <x:v>EXIT</x:v>
      </x:c>
      <x:c r="J105" s="13" t="str">
        <x:v>Best</x:v>
      </x:c>
      <x:c r="K105" s="13" t="n">
        <x:v>71</x:v>
      </x:c>
      <x:c r="L105" s="144"/>
      <x:c r="M105" s="144"/>
      <x:c r="N105" s="144"/>
      <x:c r="O105" s="144"/>
      <x:c r="P105" s="144"/>
      <x:c r="Q105" s="144"/>
      <x:c r="R105" s="144"/>
      <x:c r="S105" s="144"/>
      <x:c r="T105" s="144"/>
      <x:c r="U105" s="144"/>
      <x:c r="V105" s="144"/>
      <x:c r="W105" s="144"/>
      <x:c r="X105" s="144"/>
      <x:c r="Y105" s="144"/>
      <x:c r="Z105" s="144"/>
      <x:c r="AA105" s="144"/>
      <x:c r="AB105" s="144"/>
      <x:c r="AC105" s="144"/>
      <x:c r="AD105" s="144"/>
      <x:c r="AE105" s="144"/>
    </x:row>
    <x:row r="106" ht="21" customHeight="1">
      <x:c r="A106" s="13" t="str">
        <x:v>HAL2006</x:v>
      </x:c>
      <x:c r="B106" s="13" t="str">
        <x:v>Sable Wool Vessel</x:v>
      </x:c>
      <x:c r="C106" s="13" t="str">
        <x:v>Halloween</x:v>
      </x:c>
      <x:c r="D106" s="16" t="n">
        <x:v>56.24</x:v>
      </x:c>
      <x:c r="E106" s="19" t="n">
        <x:v>0.5907</x:v>
      </x:c>
      <x:c r="F106" s="19" t="n">
        <x:v>0.2</x:v>
      </x:c>
      <x:c r="G106" s="22" t="n">
        <x:v>127.4</x:v>
      </x:c>
      <x:c r="H106" s="16" t="n">
        <x:v>92.08</x:v>
      </x:c>
      <x:c r="I106" s="13" t="str">
        <x:v>EXIT</x:v>
      </x:c>
      <x:c r="J106" s="13" t="str">
        <x:v>Better</x:v>
      </x:c>
      <x:c r="K106" s="13" t="n">
        <x:v>72</x:v>
      </x:c>
      <x:c r="L106" s="144"/>
      <x:c r="M106" s="144"/>
      <x:c r="N106" s="144"/>
      <x:c r="O106" s="144"/>
      <x:c r="P106" s="144"/>
      <x:c r="Q106" s="144"/>
      <x:c r="R106" s="144"/>
      <x:c r="S106" s="144"/>
      <x:c r="T106" s="144"/>
      <x:c r="U106" s="144"/>
      <x:c r="V106" s="144"/>
      <x:c r="W106" s="144"/>
      <x:c r="X106" s="144"/>
      <x:c r="Y106" s="144"/>
      <x:c r="Z106" s="144"/>
      <x:c r="AA106" s="144"/>
      <x:c r="AB106" s="144"/>
      <x:c r="AC106" s="144"/>
      <x:c r="AD106" s="144"/>
      <x:c r="AE106" s="144"/>
    </x:row>
    <x:row r="107" ht="21" customHeight="1">
      <x:c r="A107" s="13" t="str">
        <x:v>HAL1995</x:v>
      </x:c>
      <x:c r="B107" s="13" t="str">
        <x:v>Arc Oak Form</x:v>
      </x:c>
      <x:c r="C107" s="13" t="str">
        <x:v>Halloween</x:v>
      </x:c>
      <x:c r="D107" s="16" t="n">
        <x:v>0</x:v>
      </x:c>
      <x:c r="E107" s="19" t="n">
        <x:v>0</x:v>
      </x:c>
      <x:c r="F107" s="19" t="n">
        <x:v>0</x:v>
      </x:c>
      <x:c r="G107" s="22" t="n">
        <x:v>99</x:v>
      </x:c>
      <x:c r="H107" s="16" t="n">
        <x:v>20.46</x:v>
      </x:c>
      <x:c r="I107" s="13" t="str">
        <x:v>EXIT</x:v>
      </x:c>
      <x:c r="J107" s="13" t="str">
        <x:v>Better</x:v>
      </x:c>
      <x:c r="K107" s="13" t="n">
        <x:v>73</x:v>
      </x:c>
      <x:c r="L107" s="144"/>
      <x:c r="M107" s="144"/>
      <x:c r="N107" s="144"/>
      <x:c r="O107" s="144"/>
      <x:c r="P107" s="144"/>
      <x:c r="Q107" s="144"/>
      <x:c r="R107" s="144"/>
      <x:c r="S107" s="144"/>
      <x:c r="T107" s="144"/>
      <x:c r="U107" s="144"/>
      <x:c r="V107" s="144"/>
      <x:c r="W107" s="144"/>
      <x:c r="X107" s="144"/>
      <x:c r="Y107" s="144"/>
      <x:c r="Z107" s="144"/>
      <x:c r="AA107" s="144"/>
      <x:c r="AB107" s="144"/>
      <x:c r="AC107" s="144"/>
      <x:c r="AD107" s="144"/>
      <x:c r="AE107" s="144"/>
    </x:row>
    <x:row r="108" ht="21" customHeight="1">
      <x:c r="A108" s="13" t="str">
        <x:v>HAL2001</x:v>
      </x:c>
      <x:c r="B108" s="13" t="str">
        <x:v>Vale Oak Atelier</x:v>
      </x:c>
      <x:c r="C108" s="13" t="str">
        <x:v>Halloween</x:v>
      </x:c>
      <x:c r="D108" s="16" t="n">
        <x:v>0</x:v>
      </x:c>
      <x:c r="E108" s="19" t="n">
        <x:v>0</x:v>
      </x:c>
      <x:c r="F108" s="19" t="n">
        <x:v>0</x:v>
      </x:c>
      <x:c r="G108" s="22" t="n">
        <x:v>99</x:v>
      </x:c>
      <x:c r="H108" s="16" t="n">
        <x:v>198.1</x:v>
      </x:c>
      <x:c r="I108" s="13" t="str">
        <x:v>EXIT</x:v>
      </x:c>
      <x:c r="J108" s="13" t="str">
        <x:v>Better</x:v>
      </x:c>
      <x:c r="K108" s="13" t="n">
        <x:v>74</x:v>
      </x:c>
      <x:c r="L108" s="144"/>
      <x:c r="M108" s="144"/>
      <x:c r="N108" s="144"/>
      <x:c r="O108" s="144"/>
      <x:c r="P108" s="144"/>
      <x:c r="Q108" s="144"/>
      <x:c r="R108" s="144"/>
      <x:c r="S108" s="144"/>
      <x:c r="T108" s="144"/>
      <x:c r="U108" s="144"/>
      <x:c r="V108" s="144"/>
      <x:c r="W108" s="144"/>
      <x:c r="X108" s="144"/>
      <x:c r="Y108" s="144"/>
      <x:c r="Z108" s="144"/>
      <x:c r="AA108" s="144"/>
      <x:c r="AB108" s="144"/>
      <x:c r="AC108" s="144"/>
      <x:c r="AD108" s="144"/>
      <x:c r="AE108" s="144"/>
    </x:row>
    <x:row r="109" ht="21" customHeight="1">
      <x:c r="A109" s="13" t="str">
        <x:v>HAL2005</x:v>
      </x:c>
      <x:c r="B109" s="13" t="str">
        <x:v>Vale Brass Line</x:v>
      </x:c>
      <x:c r="C109" s="13" t="str">
        <x:v>Halloween</x:v>
      </x:c>
      <x:c r="D109" s="16" t="n">
        <x:v>0</x:v>
      </x:c>
      <x:c r="E109" s="19" t="n">
        <x:v>0</x:v>
      </x:c>
      <x:c r="F109" s="19" t="n">
        <x:v>0</x:v>
      </x:c>
      <x:c r="G109" s="22" t="n">
        <x:v>99</x:v>
      </x:c>
      <x:c r="H109" s="16" t="n">
        <x:v>162.48</x:v>
      </x:c>
      <x:c r="I109" s="13" t="str">
        <x:v>EXIT</x:v>
      </x:c>
      <x:c r="J109" s="13" t="str">
        <x:v>Best</x:v>
      </x:c>
      <x:c r="K109" s="13" t="n">
        <x:v>75</x:v>
      </x:c>
      <x:c r="L109" s="144"/>
      <x:c r="M109" s="144"/>
      <x:c r="N109" s="144"/>
      <x:c r="O109" s="144"/>
      <x:c r="P109" s="144"/>
      <x:c r="Q109" s="144"/>
      <x:c r="R109" s="144"/>
      <x:c r="S109" s="144"/>
      <x:c r="T109" s="144"/>
      <x:c r="U109" s="144"/>
      <x:c r="V109" s="144"/>
      <x:c r="W109" s="144"/>
      <x:c r="X109" s="144"/>
      <x:c r="Y109" s="144"/>
      <x:c r="Z109" s="144"/>
      <x:c r="AA109" s="144"/>
      <x:c r="AB109" s="144"/>
      <x:c r="AC109" s="144"/>
      <x:c r="AD109" s="144"/>
      <x:c r="AE109" s="144"/>
    </x:row>
    <x:row r="110" ht="21" customHeight="1">
      <x:c r="A110" s="13" t="str">
        <x:v>HAL2009</x:v>
      </x:c>
      <x:c r="B110" s="13" t="str">
        <x:v>Avery Glass House</x:v>
      </x:c>
      <x:c r="C110" s="13" t="str">
        <x:v>Halloween</x:v>
      </x:c>
      <x:c r="D110" s="16" t="n">
        <x:v>0</x:v>
      </x:c>
      <x:c r="E110" s="19" t="n">
        <x:v>0</x:v>
      </x:c>
      <x:c r="F110" s="19" t="n">
        <x:v>0</x:v>
      </x:c>
      <x:c r="G110" s="22" t="n">
        <x:v>99</x:v>
      </x:c>
      <x:c r="H110" s="16" t="n">
        <x:v>150</x:v>
      </x:c>
      <x:c r="I110" s="13" t="str">
        <x:v>EXIT</x:v>
      </x:c>
      <x:c r="J110" s="13" t="str">
        <x:v>Better</x:v>
      </x:c>
      <x:c r="K110" s="13" t="n">
        <x:v>76</x:v>
      </x:c>
      <x:c r="L110" s="144"/>
      <x:c r="M110" s="144"/>
      <x:c r="N110" s="144"/>
      <x:c r="O110" s="144"/>
      <x:c r="P110" s="144"/>
      <x:c r="Q110" s="144"/>
      <x:c r="R110" s="144"/>
      <x:c r="S110" s="144"/>
      <x:c r="T110" s="144"/>
      <x:c r="U110" s="144"/>
      <x:c r="V110" s="144"/>
      <x:c r="W110" s="144"/>
      <x:c r="X110" s="144"/>
      <x:c r="Y110" s="144"/>
      <x:c r="Z110" s="144"/>
      <x:c r="AA110" s="144"/>
      <x:c r="AB110" s="144"/>
      <x:c r="AC110" s="144"/>
      <x:c r="AD110" s="144"/>
      <x:c r="AE110" s="144"/>
    </x:row>
    <x:row r="111" ht="21" customHeight="1">
      <x:c r="A111" s="13" t="str">
        <x:v>PEN1887</x:v>
      </x:c>
      <x:c r="B111" s="13" t="str">
        <x:v>Avery Ceramic Vessel</x:v>
      </x:c>
      <x:c r="C111" s="13" t="str">
        <x:v>Pendants</x:v>
      </x:c>
      <x:c r="D111" s="16" t="n">
        <x:v>45425.09</x:v>
      </x:c>
      <x:c r="E111" s="19" t="n">
        <x:v>0.4739</x:v>
      </x:c>
      <x:c r="F111" s="19" t="n">
        <x:v>0.875</x:v>
      </x:c>
      <x:c r="G111" s="22" t="n">
        <x:v>4.6</x:v>
      </x:c>
      <x:c r="H111" s="16" t="n">
        <x:v>3413.88</x:v>
      </x:c>
      <x:c r="I111" s="13" t="str">
        <x:v>MAINTAIN</x:v>
      </x:c>
      <x:c r="J111" s="13" t="str">
        <x:v>Best</x:v>
      </x:c>
      <x:c r="K111" s="13" t="n">
        <x:v>77</x:v>
      </x:c>
      <x:c r="L111" s="144"/>
      <x:c r="M111" s="144"/>
      <x:c r="N111" s="144"/>
      <x:c r="O111" s="144"/>
      <x:c r="P111" s="144"/>
      <x:c r="Q111" s="144"/>
      <x:c r="R111" s="144"/>
      <x:c r="S111" s="144"/>
      <x:c r="T111" s="144"/>
      <x:c r="U111" s="144"/>
      <x:c r="V111" s="144"/>
      <x:c r="W111" s="144"/>
      <x:c r="X111" s="144"/>
      <x:c r="Y111" s="144"/>
      <x:c r="Z111" s="144"/>
      <x:c r="AA111" s="144"/>
      <x:c r="AB111" s="144"/>
      <x:c r="AC111" s="144"/>
      <x:c r="AD111" s="144"/>
      <x:c r="AE111" s="144"/>
    </x:row>
    <x:row r="112" ht="21" customHeight="1">
      <x:c r="A112" s="13" t="str">
        <x:v>TAB0772</x:v>
      </x:c>
      <x:c r="B112" s="13" t="str">
        <x:v>Noir Brass Object</x:v>
      </x:c>
      <x:c r="C112" s="13" t="str">
        <x:v>Tables</x:v>
      </x:c>
      <x:c r="D112" s="16" t="n">
        <x:v>38587.35</x:v>
      </x:c>
      <x:c r="E112" s="19" t="n">
        <x:v>0.4826</x:v>
      </x:c>
      <x:c r="F112" s="19" t="n">
        <x:v>0.8219</x:v>
      </x:c>
      <x:c r="G112" s="22" t="n">
        <x:v>6.9</x:v>
      </x:c>
      <x:c r="H112" s="16" t="n">
        <x:v>4326.14</x:v>
      </x:c>
      <x:c r="I112" s="13" t="str">
        <x:v>MAINTAIN</x:v>
      </x:c>
      <x:c r="J112" s="13" t="str">
        <x:v>Best</x:v>
      </x:c>
      <x:c r="K112" s="13" t="n">
        <x:v>78</x:v>
      </x:c>
      <x:c r="L112" s="144"/>
      <x:c r="M112" s="144"/>
      <x:c r="N112" s="144"/>
      <x:c r="O112" s="144"/>
      <x:c r="P112" s="144"/>
      <x:c r="Q112" s="144"/>
      <x:c r="R112" s="144"/>
      <x:c r="S112" s="144"/>
      <x:c r="T112" s="144"/>
      <x:c r="U112" s="144"/>
      <x:c r="V112" s="144"/>
      <x:c r="W112" s="144"/>
      <x:c r="X112" s="144"/>
      <x:c r="Y112" s="144"/>
      <x:c r="Z112" s="144"/>
      <x:c r="AA112" s="144"/>
      <x:c r="AB112" s="144"/>
      <x:c r="AC112" s="144"/>
      <x:c r="AD112" s="144"/>
      <x:c r="AE112" s="144"/>
    </x:row>
    <x:row r="113" ht="21" customHeight="1">
      <x:c r="A113" s="13" t="str">
        <x:v>PEN1882</x:v>
      </x:c>
      <x:c r="B113" s="13" t="str">
        <x:v>Ridge Cotton Line</x:v>
      </x:c>
      <x:c r="C113" s="13" t="str">
        <x:v>Pendants</x:v>
      </x:c>
      <x:c r="D113" s="16" t="n">
        <x:v>36963.54</x:v>
      </x:c>
      <x:c r="E113" s="19" t="n">
        <x:v>0.5419</x:v>
      </x:c>
      <x:c r="F113" s="19" t="n">
        <x:v>0.8602</x:v>
      </x:c>
      <x:c r="G113" s="22" t="n">
        <x:v>5.2</x:v>
      </x:c>
      <x:c r="H113" s="16" t="n">
        <x:v>2751.45</x:v>
      </x:c>
      <x:c r="I113" s="13" t="str">
        <x:v>MAINTAIN</x:v>
      </x:c>
      <x:c r="J113" s="13" t="str">
        <x:v>Best</x:v>
      </x:c>
      <x:c r="K113" s="13" t="n">
        <x:v>79</x:v>
      </x:c>
      <x:c r="L113" s="144"/>
      <x:c r="M113" s="144"/>
      <x:c r="N113" s="144"/>
      <x:c r="O113" s="144"/>
      <x:c r="P113" s="144"/>
      <x:c r="Q113" s="144"/>
      <x:c r="R113" s="144"/>
      <x:c r="S113" s="144"/>
      <x:c r="T113" s="144"/>
      <x:c r="U113" s="144"/>
      <x:c r="V113" s="144"/>
      <x:c r="W113" s="144"/>
      <x:c r="X113" s="144"/>
      <x:c r="Y113" s="144"/>
      <x:c r="Z113" s="144"/>
      <x:c r="AA113" s="144"/>
      <x:c r="AB113" s="144"/>
      <x:c r="AC113" s="144"/>
      <x:c r="AD113" s="144"/>
      <x:c r="AE113" s="144"/>
    </x:row>
    <x:row r="114" ht="21" customHeight="1">
      <x:c r="A114" s="13" t="str">
        <x:v>PEN1890</x:v>
      </x:c>
      <x:c r="B114" s="13" t="str">
        <x:v>Avery Cotton Atelier</x:v>
      </x:c>
      <x:c r="C114" s="13" t="str">
        <x:v>Pendants</x:v>
      </x:c>
      <x:c r="D114" s="16" t="n">
        <x:v>36645.62</x:v>
      </x:c>
      <x:c r="E114" s="19" t="n">
        <x:v>0.4736</x:v>
      </x:c>
      <x:c r="F114" s="19" t="n">
        <x:v>0.8493</x:v>
      </x:c>
      <x:c r="G114" s="22" t="n">
        <x:v>5.7</x:v>
      </x:c>
      <x:c r="H114" s="16" t="n">
        <x:v>3422.54</x:v>
      </x:c>
      <x:c r="I114" s="13" t="str">
        <x:v>MAINTAIN</x:v>
      </x:c>
      <x:c r="J114" s="13" t="str">
        <x:v>Best</x:v>
      </x:c>
      <x:c r="K114" s="13" t="n">
        <x:v>80</x:v>
      </x:c>
      <x:c r="L114" s="144"/>
      <x:c r="M114" s="144"/>
      <x:c r="N114" s="144"/>
      <x:c r="O114" s="144"/>
      <x:c r="P114" s="144"/>
      <x:c r="Q114" s="144"/>
      <x:c r="R114" s="144"/>
      <x:c r="S114" s="144"/>
      <x:c r="T114" s="144"/>
      <x:c r="U114" s="144"/>
      <x:c r="V114" s="144"/>
      <x:c r="W114" s="144"/>
      <x:c r="X114" s="144"/>
      <x:c r="Y114" s="144"/>
      <x:c r="Z114" s="144"/>
      <x:c r="AA114" s="144"/>
      <x:c r="AB114" s="144"/>
      <x:c r="AC114" s="144"/>
      <x:c r="AD114" s="144"/>
      <x:c r="AE114" s="144"/>
    </x:row>
    <x:row r="115" ht="21" customHeight="1">
      <x:c r="A115" s="13" t="str">
        <x:v>WAL0308</x:v>
      </x:c>
      <x:c r="B115" s="13" t="str">
        <x:v>Arc Rattan House</x:v>
      </x:c>
      <x:c r="C115" s="13" t="str">
        <x:v>Wall Decor</x:v>
      </x:c>
      <x:c r="D115" s="16" t="n">
        <x:v>34732.91</x:v>
      </x:c>
      <x:c r="E115" s="19" t="n">
        <x:v>0.6007</x:v>
      </x:c>
      <x:c r="F115" s="19" t="n">
        <x:v>0.8805</x:v>
      </x:c>
      <x:c r="G115" s="22" t="n">
        <x:v>4.3</x:v>
      </x:c>
      <x:c r="H115" s="16" t="n">
        <x:v>1881.63</x:v>
      </x:c>
      <x:c r="I115" s="13" t="str">
        <x:v>MAINTAIN</x:v>
      </x:c>
      <x:c r="J115" s="13" t="str">
        <x:v>Best</x:v>
      </x:c>
      <x:c r="K115" s="13" t="n">
        <x:v>81</x:v>
      </x:c>
      <x:c r="L115" s="144"/>
      <x:c r="M115" s="144"/>
      <x:c r="N115" s="144"/>
      <x:c r="O115" s="144"/>
      <x:c r="P115" s="144"/>
      <x:c r="Q115" s="144"/>
      <x:c r="R115" s="144"/>
      <x:c r="S115" s="144"/>
      <x:c r="T115" s="144"/>
      <x:c r="U115" s="144"/>
      <x:c r="V115" s="144"/>
      <x:c r="W115" s="144"/>
      <x:c r="X115" s="144"/>
      <x:c r="Y115" s="144"/>
      <x:c r="Z115" s="144"/>
      <x:c r="AA115" s="144"/>
      <x:c r="AB115" s="144"/>
      <x:c r="AC115" s="144"/>
      <x:c r="AD115" s="144"/>
      <x:c r="AE115" s="144"/>
    </x:row>
    <x:row r="116" ht="21" customHeight="1">
      <x:c r="A116" s="13" t="str">
        <x:v>FLR1854</x:v>
      </x:c>
      <x:c r="B116" s="13" t="str">
        <x:v>Sable Cotton Series</x:v>
      </x:c>
      <x:c r="C116" s="13" t="str">
        <x:v>Floor Lamps</x:v>
      </x:c>
      <x:c r="D116" s="16" t="n">
        <x:v>28807.05</x:v>
      </x:c>
      <x:c r="E116" s="19" t="n">
        <x:v>0.5919</x:v>
      </x:c>
      <x:c r="F116" s="19" t="n">
        <x:v>0.835</x:v>
      </x:c>
      <x:c r="G116" s="22" t="n">
        <x:v>6.3</x:v>
      </x:c>
      <x:c r="H116" s="16" t="n">
        <x:v>2323.9</x:v>
      </x:c>
      <x:c r="I116" s="13" t="str">
        <x:v>MAINTAIN</x:v>
      </x:c>
      <x:c r="J116" s="13" t="str">
        <x:v>Best</x:v>
      </x:c>
      <x:c r="K116" s="13" t="n">
        <x:v>82</x:v>
      </x:c>
      <x:c r="L116" s="144"/>
      <x:c r="M116" s="144"/>
      <x:c r="N116" s="144"/>
      <x:c r="O116" s="144"/>
      <x:c r="P116" s="144"/>
      <x:c r="Q116" s="144"/>
      <x:c r="R116" s="144"/>
      <x:c r="S116" s="144"/>
      <x:c r="T116" s="144"/>
      <x:c r="U116" s="144"/>
      <x:c r="V116" s="144"/>
      <x:c r="W116" s="144"/>
      <x:c r="X116" s="144"/>
      <x:c r="Y116" s="144"/>
      <x:c r="Z116" s="144"/>
      <x:c r="AA116" s="144"/>
      <x:c r="AB116" s="144"/>
      <x:c r="AC116" s="144"/>
      <x:c r="AD116" s="144"/>
      <x:c r="AE116" s="144"/>
    </x:row>
    <x:row r="117" ht="21" customHeight="1">
      <x:c r="A117" s="13" t="str">
        <x:v>FLR1864</x:v>
      </x:c>
      <x:c r="B117" s="13" t="str">
        <x:v>Aster Brass Object</x:v>
      </x:c>
      <x:c r="C117" s="13" t="str">
        <x:v>Floor Lamps</x:v>
      </x:c>
      <x:c r="D117" s="16" t="n">
        <x:v>28571.26</x:v>
      </x:c>
      <x:c r="E117" s="19" t="n">
        <x:v>0.6102</x:v>
      </x:c>
      <x:c r="F117" s="19" t="n">
        <x:v>0.8952</x:v>
      </x:c>
      <x:c r="G117" s="22" t="n">
        <x:v>3.7</x:v>
      </x:c>
      <x:c r="H117" s="16" t="n">
        <x:v>1304.29</x:v>
      </x:c>
      <x:c r="I117" s="13" t="str">
        <x:v>MAINTAIN</x:v>
      </x:c>
      <x:c r="J117" s="13" t="str">
        <x:v>Best</x:v>
      </x:c>
      <x:c r="K117" s="13" t="n">
        <x:v>83</x:v>
      </x:c>
      <x:c r="L117" s="144"/>
      <x:c r="M117" s="144"/>
      <x:c r="N117" s="144"/>
      <x:c r="O117" s="144"/>
      <x:c r="P117" s="144"/>
      <x:c r="Q117" s="144"/>
      <x:c r="R117" s="144"/>
      <x:c r="S117" s="144"/>
      <x:c r="T117" s="144"/>
      <x:c r="U117" s="144"/>
      <x:c r="V117" s="144"/>
      <x:c r="W117" s="144"/>
      <x:c r="X117" s="144"/>
      <x:c r="Y117" s="144"/>
      <x:c r="Z117" s="144"/>
      <x:c r="AA117" s="144"/>
      <x:c r="AB117" s="144"/>
      <x:c r="AC117" s="144"/>
      <x:c r="AD117" s="144"/>
      <x:c r="AE117" s="144"/>
    </x:row>
    <x:row r="118" ht="21" customHeight="1">
      <x:c r="A118" s="13" t="str">
        <x:v>PEN1900</x:v>
      </x:c>
      <x:c r="B118" s="13" t="str">
        <x:v>Vale Glass Vessel</x:v>
      </x:c>
      <x:c r="C118" s="13" t="str">
        <x:v>Pendants</x:v>
      </x:c>
      <x:c r="D118" s="16" t="n">
        <x:v>28045.31</x:v>
      </x:c>
      <x:c r="E118" s="19" t="n">
        <x:v>0.4287</x:v>
      </x:c>
      <x:c r="F118" s="19" t="n">
        <x:v>0.8378</x:v>
      </x:c>
      <x:c r="G118" s="22" t="n">
        <x:v>6.2</x:v>
      </x:c>
      <x:c r="H118" s="16" t="n">
        <x:v>3101.04</x:v>
      </x:c>
      <x:c r="I118" s="13" t="str">
        <x:v>MAINTAIN</x:v>
      </x:c>
      <x:c r="J118" s="13" t="str">
        <x:v>Best</x:v>
      </x:c>
      <x:c r="K118" s="13" t="n">
        <x:v>84</x:v>
      </x:c>
      <x:c r="L118" s="144"/>
      <x:c r="M118" s="144"/>
      <x:c r="N118" s="144"/>
      <x:c r="O118" s="144"/>
      <x:c r="P118" s="144"/>
      <x:c r="Q118" s="144"/>
      <x:c r="R118" s="144"/>
      <x:c r="S118" s="144"/>
      <x:c r="T118" s="144"/>
      <x:c r="U118" s="144"/>
      <x:c r="V118" s="144"/>
      <x:c r="W118" s="144"/>
      <x:c r="X118" s="144"/>
      <x:c r="Y118" s="144"/>
      <x:c r="Z118" s="144"/>
      <x:c r="AA118" s="144"/>
      <x:c r="AB118" s="144"/>
      <x:c r="AC118" s="144"/>
      <x:c r="AD118" s="144"/>
      <x:c r="AE118" s="144"/>
    </x:row>
    <x:row r="119" ht="21" customHeight="1">
      <x:c r="A119" s="13" t="str">
        <x:v>SEA0697</x:v>
      </x:c>
      <x:c r="B119" s="13" t="str">
        <x:v>Sable Oak Series</x:v>
      </x:c>
      <x:c r="C119" s="13" t="str">
        <x:v>Seating</x:v>
      </x:c>
      <x:c r="D119" s="16" t="n">
        <x:v>27682.15</x:v>
      </x:c>
      <x:c r="E119" s="19" t="n">
        <x:v>0.5669</x:v>
      </x:c>
      <x:c r="F119" s="19" t="n">
        <x:v>0.8333</x:v>
      </x:c>
      <x:c r="G119" s="22" t="n">
        <x:v>6.4</x:v>
      </x:c>
      <x:c r="H119" s="16" t="n">
        <x:v>2398.05</x:v>
      </x:c>
      <x:c r="I119" s="13" t="str">
        <x:v>MAINTAIN</x:v>
      </x:c>
      <x:c r="J119" s="13" t="str">
        <x:v>Best</x:v>
      </x:c>
      <x:c r="K119" s="13" t="n">
        <x:v>85</x:v>
      </x:c>
      <x:c r="L119" s="144"/>
      <x:c r="M119" s="144"/>
      <x:c r="N119" s="144"/>
      <x:c r="O119" s="144"/>
      <x:c r="P119" s="144"/>
      <x:c r="Q119" s="144"/>
      <x:c r="R119" s="144"/>
      <x:c r="S119" s="144"/>
      <x:c r="T119" s="144"/>
      <x:c r="U119" s="144"/>
      <x:c r="V119" s="144"/>
      <x:c r="W119" s="144"/>
      <x:c r="X119" s="144"/>
      <x:c r="Y119" s="144"/>
      <x:c r="Z119" s="144"/>
      <x:c r="AA119" s="144"/>
      <x:c r="AB119" s="144"/>
      <x:c r="AC119" s="144"/>
      <x:c r="AD119" s="144"/>
      <x:c r="AE119" s="144"/>
    </x:row>
    <x:row r="120" ht="21" customHeight="1">
      <x:c r="A120" s="13" t="str">
        <x:v>FLR1866</x:v>
      </x:c>
      <x:c r="B120" s="13" t="str">
        <x:v>Aster Glass Atelier</x:v>
      </x:c>
      <x:c r="C120" s="13" t="str">
        <x:v>Floor Lamps</x:v>
      </x:c>
      <x:c r="D120" s="16" t="n">
        <x:v>27661.85</x:v>
      </x:c>
      <x:c r="E120" s="19" t="n">
        <x:v>0.4861</x:v>
      </x:c>
      <x:c r="F120" s="19" t="n">
        <x:v>0.8736</x:v>
      </x:c>
      <x:c r="G120" s="22" t="n">
        <x:v>4.6</x:v>
      </x:c>
      <x:c r="H120" s="16" t="n">
        <x:v>2057.55</x:v>
      </x:c>
      <x:c r="I120" s="13" t="str">
        <x:v>MAINTAIN</x:v>
      </x:c>
      <x:c r="J120" s="13" t="str">
        <x:v>Best</x:v>
      </x:c>
      <x:c r="K120" s="13" t="n">
        <x:v>86</x:v>
      </x:c>
      <x:c r="L120" s="144"/>
      <x:c r="M120" s="144"/>
      <x:c r="N120" s="144"/>
      <x:c r="O120" s="144"/>
      <x:c r="P120" s="144"/>
      <x:c r="Q120" s="144"/>
      <x:c r="R120" s="144"/>
      <x:c r="S120" s="144"/>
      <x:c r="T120" s="144"/>
      <x:c r="U120" s="144"/>
      <x:c r="V120" s="144"/>
      <x:c r="W120" s="144"/>
      <x:c r="X120" s="144"/>
      <x:c r="Y120" s="144"/>
      <x:c r="Z120" s="144"/>
      <x:c r="AA120" s="144"/>
      <x:c r="AB120" s="144"/>
      <x:c r="AC120" s="144"/>
      <x:c r="AD120" s="144"/>
      <x:c r="AE120" s="144"/>
    </x:row>
    <x:row r="121" ht="21" customHeight="1">
      <x:c r="A121" s="13" t="str">
        <x:v>PEN1918</x:v>
      </x:c>
      <x:c r="B121" s="13" t="str">
        <x:v>Arc Rattan Atelier</x:v>
      </x:c>
      <x:c r="C121" s="13" t="str">
        <x:v>Pendants</x:v>
      </x:c>
      <x:c r="D121" s="16" t="n">
        <x:v>27562.8</x:v>
      </x:c>
      <x:c r="E121" s="19" t="n">
        <x:v>0.5303</x:v>
      </x:c>
      <x:c r="F121" s="19" t="n">
        <x:v>0.8507</x:v>
      </x:c>
      <x:c r="G121" s="22" t="n">
        <x:v>5.6</x:v>
      </x:c>
      <x:c r="H121" s="16" t="n">
        <x:v>2271.2</x:v>
      </x:c>
      <x:c r="I121" s="13" t="str">
        <x:v>MAINTAIN</x:v>
      </x:c>
      <x:c r="J121" s="13" t="str">
        <x:v>Best</x:v>
      </x:c>
      <x:c r="K121" s="13" t="n">
        <x:v>87</x:v>
      </x:c>
      <x:c r="L121" s="144"/>
      <x:c r="M121" s="144"/>
      <x:c r="N121" s="144"/>
      <x:c r="O121" s="144"/>
      <x:c r="P121" s="144"/>
      <x:c r="Q121" s="144"/>
      <x:c r="R121" s="144"/>
      <x:c r="S121" s="144"/>
      <x:c r="T121" s="144"/>
      <x:c r="U121" s="144"/>
      <x:c r="V121" s="144"/>
      <x:c r="W121" s="144"/>
      <x:c r="X121" s="144"/>
      <x:c r="Y121" s="144"/>
      <x:c r="Z121" s="144"/>
      <x:c r="AA121" s="144"/>
      <x:c r="AB121" s="144"/>
      <x:c r="AC121" s="144"/>
      <x:c r="AD121" s="144"/>
      <x:c r="AE121" s="144"/>
    </x:row>
    <x:row r="122" ht="21" customHeight="1">
      <x:c r="A122" s="13" t="str">
        <x:v>FLR1846</x:v>
      </x:c>
      <x:c r="B122" s="13" t="str">
        <x:v>Avery Brass House</x:v>
      </x:c>
      <x:c r="C122" s="13" t="str">
        <x:v>Floor Lamps</x:v>
      </x:c>
      <x:c r="D122" s="16" t="n">
        <x:v>26810.09</x:v>
      </x:c>
      <x:c r="E122" s="19" t="n">
        <x:v>0.5678</x:v>
      </x:c>
      <x:c r="F122" s="19" t="n">
        <x:v>0.8718</x:v>
      </x:c>
      <x:c r="G122" s="22" t="n">
        <x:v>4.7</x:v>
      </x:c>
      <x:c r="H122" s="16" t="n">
        <x:v>1704.2</x:v>
      </x:c>
      <x:c r="I122" s="13" t="str">
        <x:v>MAINTAIN</x:v>
      </x:c>
      <x:c r="J122" s="13" t="str">
        <x:v>Best</x:v>
      </x:c>
      <x:c r="K122" s="13" t="n">
        <x:v>88</x:v>
      </x:c>
      <x:c r="L122" s="144"/>
      <x:c r="M122" s="144"/>
      <x:c r="N122" s="144"/>
      <x:c r="O122" s="144"/>
      <x:c r="P122" s="144"/>
      <x:c r="Q122" s="144"/>
      <x:c r="R122" s="144"/>
      <x:c r="S122" s="144"/>
      <x:c r="T122" s="144"/>
      <x:c r="U122" s="144"/>
      <x:c r="V122" s="144"/>
      <x:c r="W122" s="144"/>
      <x:c r="X122" s="144"/>
      <x:c r="Y122" s="144"/>
      <x:c r="Z122" s="144"/>
      <x:c r="AA122" s="144"/>
      <x:c r="AB122" s="144"/>
      <x:c r="AC122" s="144"/>
      <x:c r="AD122" s="144"/>
      <x:c r="AE122" s="144"/>
    </x:row>
    <x:row r="123" ht="21" customHeight="1">
      <x:c r="A123" s="13" t="str">
        <x:v>FLR1858</x:v>
      </x:c>
      <x:c r="B123" s="13" t="str">
        <x:v>Luna Wool Form</x:v>
      </x:c>
      <x:c r="C123" s="13" t="str">
        <x:v>Floor Lamps</x:v>
      </x:c>
      <x:c r="D123" s="16" t="n">
        <x:v>26586.45</x:v>
      </x:c>
      <x:c r="E123" s="19" t="n">
        <x:v>0.6328</x:v>
      </x:c>
      <x:c r="F123" s="19" t="n">
        <x:v>0.8916</x:v>
      </x:c>
      <x:c r="G123" s="22" t="n">
        <x:v>3.9</x:v>
      </x:c>
      <x:c r="H123" s="16" t="n">
        <x:v>1187.37</x:v>
      </x:c>
      <x:c r="I123" s="13" t="str">
        <x:v>MAINTAIN</x:v>
      </x:c>
      <x:c r="J123" s="13" t="str">
        <x:v>Best</x:v>
      </x:c>
      <x:c r="K123" s="13" t="n">
        <x:v>89</x:v>
      </x:c>
      <x:c r="L123" s="144"/>
      <x:c r="M123" s="144"/>
      <x:c r="N123" s="144"/>
      <x:c r="O123" s="144"/>
      <x:c r="P123" s="144"/>
      <x:c r="Q123" s="144"/>
      <x:c r="R123" s="144"/>
      <x:c r="S123" s="144"/>
      <x:c r="T123" s="144"/>
      <x:c r="U123" s="144"/>
      <x:c r="V123" s="144"/>
      <x:c r="W123" s="144"/>
      <x:c r="X123" s="144"/>
      <x:c r="Y123" s="144"/>
      <x:c r="Z123" s="144"/>
      <x:c r="AA123" s="144"/>
      <x:c r="AB123" s="144"/>
      <x:c r="AC123" s="144"/>
      <x:c r="AD123" s="144"/>
      <x:c r="AE123" s="144"/>
    </x:row>
    <x:row r="124" ht="21" customHeight="1">
      <x:c r="A124" s="13" t="str">
        <x:v>PEN1905</x:v>
      </x:c>
      <x:c r="B124" s="13" t="str">
        <x:v>Harbour Stone Object</x:v>
      </x:c>
      <x:c r="C124" s="13" t="str">
        <x:v>Pendants</x:v>
      </x:c>
      <x:c r="D124" s="16" t="n">
        <x:v>24669.57</x:v>
      </x:c>
      <x:c r="E124" s="19" t="n">
        <x:v>0.5154</x:v>
      </x:c>
      <x:c r="F124" s="19" t="n">
        <x:v>0.8807</x:v>
      </x:c>
      <x:c r="G124" s="22" t="n">
        <x:v>4.3</x:v>
      </x:c>
      <x:c r="H124" s="16" t="n">
        <x:v>1619.02</x:v>
      </x:c>
      <x:c r="I124" s="13" t="str">
        <x:v>MAINTAIN</x:v>
      </x:c>
      <x:c r="J124" s="13" t="str">
        <x:v>Best</x:v>
      </x:c>
      <x:c r="K124" s="13" t="n">
        <x:v>90</x:v>
      </x:c>
      <x:c r="L124" s="144"/>
      <x:c r="M124" s="144"/>
      <x:c r="N124" s="144"/>
      <x:c r="O124" s="144"/>
      <x:c r="P124" s="144"/>
      <x:c r="Q124" s="144"/>
      <x:c r="R124" s="144"/>
      <x:c r="S124" s="144"/>
      <x:c r="T124" s="144"/>
      <x:c r="U124" s="144"/>
      <x:c r="V124" s="144"/>
      <x:c r="W124" s="144"/>
      <x:c r="X124" s="144"/>
      <x:c r="Y124" s="144"/>
      <x:c r="Z124" s="144"/>
      <x:c r="AA124" s="144"/>
      <x:c r="AB124" s="144"/>
      <x:c r="AC124" s="144"/>
      <x:c r="AD124" s="144"/>
      <x:c r="AE124" s="144"/>
    </x:row>
    <x:row r="125" ht="21" customHeight="1">
      <x:c r="A125" s="13" t="str">
        <x:v>FUR0605</x:v>
      </x:c>
      <x:c r="B125" s="13" t="str">
        <x:v>Sable Glass Vessel</x:v>
      </x:c>
      <x:c r="C125" s="13" t="str">
        <x:v>Accent Furniture</x:v>
      </x:c>
      <x:c r="D125" s="16" t="n">
        <x:v>24417.03</x:v>
      </x:c>
      <x:c r="E125" s="19" t="n">
        <x:v>0.5381</x:v>
      </x:c>
      <x:c r="F125" s="19" t="n">
        <x:v>0.8033</x:v>
      </x:c>
      <x:c r="G125" s="22" t="n">
        <x:v>7.8</x:v>
      </x:c>
      <x:c r="H125" s="16" t="n">
        <x:v>2762.04</x:v>
      </x:c>
      <x:c r="I125" s="13" t="str">
        <x:v>MAINTAIN</x:v>
      </x:c>
      <x:c r="J125" s="13" t="str">
        <x:v>Best</x:v>
      </x:c>
      <x:c r="K125" s="13" t="n">
        <x:v>91</x:v>
      </x:c>
      <x:c r="L125" s="144"/>
      <x:c r="M125" s="144"/>
      <x:c r="N125" s="144"/>
      <x:c r="O125" s="144"/>
      <x:c r="P125" s="144"/>
      <x:c r="Q125" s="144"/>
      <x:c r="R125" s="144"/>
      <x:c r="S125" s="144"/>
      <x:c r="T125" s="144"/>
      <x:c r="U125" s="144"/>
      <x:c r="V125" s="144"/>
      <x:c r="W125" s="144"/>
      <x:c r="X125" s="144"/>
      <x:c r="Y125" s="144"/>
      <x:c r="Z125" s="144"/>
      <x:c r="AA125" s="144"/>
      <x:c r="AB125" s="144"/>
      <x:c r="AC125" s="144"/>
      <x:c r="AD125" s="144"/>
      <x:c r="AE125" s="144"/>
    </x:row>
    <x:row r="126" ht="21" customHeight="1">
      <x:c r="A126" s="13" t="str">
        <x:v>PEN1886</x:v>
      </x:c>
      <x:c r="B126" s="13" t="str">
        <x:v>Sable Rattan Object</x:v>
      </x:c>
      <x:c r="C126" s="13" t="str">
        <x:v>Pendants</x:v>
      </x:c>
      <x:c r="D126" s="16" t="n">
        <x:v>24398.36</x:v>
      </x:c>
      <x:c r="E126" s="19" t="n">
        <x:v>0.535</x:v>
      </x:c>
      <x:c r="F126" s="19" t="n">
        <x:v>0.8961</x:v>
      </x:c>
      <x:c r="G126" s="22" t="n">
        <x:v>3.7</x:v>
      </x:c>
      <x:c r="H126" s="16" t="n">
        <x:v>1315.28</x:v>
      </x:c>
      <x:c r="I126" s="13" t="str">
        <x:v>MAINTAIN</x:v>
      </x:c>
      <x:c r="J126" s="13" t="str">
        <x:v>Best</x:v>
      </x:c>
      <x:c r="K126" s="13" t="n">
        <x:v>92</x:v>
      </x:c>
      <x:c r="L126" s="144"/>
      <x:c r="M126" s="144"/>
      <x:c r="N126" s="144"/>
      <x:c r="O126" s="144"/>
      <x:c r="P126" s="144"/>
      <x:c r="Q126" s="144"/>
      <x:c r="R126" s="144"/>
      <x:c r="S126" s="144"/>
      <x:c r="T126" s="144"/>
      <x:c r="U126" s="144"/>
      <x:c r="V126" s="144"/>
      <x:c r="W126" s="144"/>
      <x:c r="X126" s="144"/>
      <x:c r="Y126" s="144"/>
      <x:c r="Z126" s="144"/>
      <x:c r="AA126" s="144"/>
      <x:c r="AB126" s="144"/>
      <x:c r="AC126" s="144"/>
      <x:c r="AD126" s="144"/>
      <x:c r="AE126" s="144"/>
    </x:row>
    <x:row r="127" ht="21" customHeight="1">
      <x:c r="A127" s="13" t="str">
        <x:v>SEA0760</x:v>
      </x:c>
      <x:c r="B127" s="13" t="str">
        <x:v>Harbour Oak Edit</x:v>
      </x:c>
      <x:c r="C127" s="13" t="str">
        <x:v>Seating</x:v>
      </x:c>
      <x:c r="D127" s="16" t="n">
        <x:v>24277.44</x:v>
      </x:c>
      <x:c r="E127" s="19" t="n">
        <x:v>0.4869</x:v>
      </x:c>
      <x:c r="F127" s="19" t="n">
        <x:v>0.6889</x:v>
      </x:c>
      <x:c r="G127" s="22" t="n">
        <x:v>14.4</x:v>
      </x:c>
      <x:c r="H127" s="16" t="n">
        <x:v>5625.9</x:v>
      </x:c>
      <x:c r="I127" s="13" t="str">
        <x:v>MAINTAIN</x:v>
      </x:c>
      <x:c r="J127" s="13" t="str">
        <x:v>Best</x:v>
      </x:c>
      <x:c r="K127" s="13" t="n">
        <x:v>93</x:v>
      </x:c>
      <x:c r="L127" s="144"/>
      <x:c r="M127" s="144"/>
      <x:c r="N127" s="144"/>
      <x:c r="O127" s="144"/>
      <x:c r="P127" s="144"/>
      <x:c r="Q127" s="144"/>
      <x:c r="R127" s="144"/>
      <x:c r="S127" s="144"/>
      <x:c r="T127" s="144"/>
      <x:c r="U127" s="144"/>
      <x:c r="V127" s="144"/>
      <x:c r="W127" s="144"/>
      <x:c r="X127" s="144"/>
      <x:c r="Y127" s="144"/>
      <x:c r="Z127" s="144"/>
      <x:c r="AA127" s="144"/>
      <x:c r="AB127" s="144"/>
      <x:c r="AC127" s="144"/>
      <x:c r="AD127" s="144"/>
      <x:c r="AE127" s="144"/>
    </x:row>
    <x:row r="128" ht="21" customHeight="1">
      <x:c r="A128" s="13" t="str">
        <x:v>FLR1840</x:v>
      </x:c>
      <x:c r="B128" s="13" t="str">
        <x:v>Vale Linen Collection</x:v>
      </x:c>
      <x:c r="C128" s="13" t="str">
        <x:v>Floor Lamps</x:v>
      </x:c>
      <x:c r="D128" s="16" t="n">
        <x:v>23930.18</x:v>
      </x:c>
      <x:c r="E128" s="19" t="n">
        <x:v>0.6137</x:v>
      </x:c>
      <x:c r="F128" s="19" t="n">
        <x:v>0.8804</x:v>
      </x:c>
      <x:c r="G128" s="22" t="n">
        <x:v>4.3</x:v>
      </x:c>
      <x:c r="H128" s="16" t="n">
        <x:v>1255.32</x:v>
      </x:c>
      <x:c r="I128" s="13" t="str">
        <x:v>MAINTAIN</x:v>
      </x:c>
      <x:c r="J128" s="13" t="str">
        <x:v>Best</x:v>
      </x:c>
      <x:c r="K128" s="13" t="n">
        <x:v>94</x:v>
      </x:c>
      <x:c r="L128" s="144"/>
      <x:c r="M128" s="144"/>
      <x:c r="N128" s="144"/>
      <x:c r="O128" s="144"/>
      <x:c r="P128" s="144"/>
      <x:c r="Q128" s="144"/>
      <x:c r="R128" s="144"/>
      <x:c r="S128" s="144"/>
      <x:c r="T128" s="144"/>
      <x:c r="U128" s="144"/>
      <x:c r="V128" s="144"/>
      <x:c r="W128" s="144"/>
      <x:c r="X128" s="144"/>
      <x:c r="Y128" s="144"/>
      <x:c r="Z128" s="144"/>
      <x:c r="AA128" s="144"/>
      <x:c r="AB128" s="144"/>
      <x:c r="AC128" s="144"/>
      <x:c r="AD128" s="144"/>
      <x:c r="AE128" s="144"/>
    </x:row>
    <x:row r="129" ht="21" customHeight="1">
      <x:c r="A129" s="13" t="str">
        <x:v>FLR1838</x:v>
      </x:c>
      <x:c r="B129" s="13" t="str">
        <x:v>Harbour Ceramic Vessel</x:v>
      </x:c>
      <x:c r="C129" s="13" t="str">
        <x:v>Floor Lamps</x:v>
      </x:c>
      <x:c r="D129" s="16" t="n">
        <x:v>23361.03</x:v>
      </x:c>
      <x:c r="E129" s="19" t="n">
        <x:v>0.5136</x:v>
      </x:c>
      <x:c r="F129" s="19" t="n">
        <x:v>0.8571</x:v>
      </x:c>
      <x:c r="G129" s="22" t="n">
        <x:v>5.3</x:v>
      </x:c>
      <x:c r="H129" s="16" t="n">
        <x:v>1893.96</x:v>
      </x:c>
      <x:c r="I129" s="13" t="str">
        <x:v>MAINTAIN</x:v>
      </x:c>
      <x:c r="J129" s="13" t="str">
        <x:v>Best</x:v>
      </x:c>
      <x:c r="K129" s="13" t="n">
        <x:v>95</x:v>
      </x:c>
      <x:c r="L129" s="144"/>
      <x:c r="M129" s="144"/>
      <x:c r="N129" s="144"/>
      <x:c r="O129" s="144"/>
      <x:c r="P129" s="144"/>
      <x:c r="Q129" s="144"/>
      <x:c r="R129" s="144"/>
      <x:c r="S129" s="144"/>
      <x:c r="T129" s="144"/>
      <x:c r="U129" s="144"/>
      <x:c r="V129" s="144"/>
      <x:c r="W129" s="144"/>
      <x:c r="X129" s="144"/>
      <x:c r="Y129" s="144"/>
      <x:c r="Z129" s="144"/>
      <x:c r="AA129" s="144"/>
      <x:c r="AB129" s="144"/>
      <x:c r="AC129" s="144"/>
      <x:c r="AD129" s="144"/>
      <x:c r="AE129" s="144"/>
    </x:row>
    <x:row r="130" ht="21" customHeight="1">
      <x:c r="A130" s="13" t="str">
        <x:v>TAB0813</x:v>
      </x:c>
      <x:c r="B130" s="13" t="str">
        <x:v>Harbour Linen Studio</x:v>
      </x:c>
      <x:c r="C130" s="13" t="str">
        <x:v>Tables</x:v>
      </x:c>
      <x:c r="D130" s="16" t="n">
        <x:v>23282.04</x:v>
      </x:c>
      <x:c r="E130" s="19" t="n">
        <x:v>0.4395</x:v>
      </x:c>
      <x:c r="F130" s="19" t="n">
        <x:v>0.7347</x:v>
      </x:c>
      <x:c r="G130" s="22" t="n">
        <x:v>11.5</x:v>
      </x:c>
      <x:c r="H130" s="16" t="n">
        <x:v>4712.37</x:v>
      </x:c>
      <x:c r="I130" s="13" t="str">
        <x:v>MAINTAIN</x:v>
      </x:c>
      <x:c r="J130" s="13" t="str">
        <x:v>Best</x:v>
      </x:c>
      <x:c r="K130" s="13" t="n">
        <x:v>96</x:v>
      </x:c>
      <x:c r="L130" s="144"/>
      <x:c r="M130" s="144"/>
      <x:c r="N130" s="144"/>
      <x:c r="O130" s="144"/>
      <x:c r="P130" s="144"/>
      <x:c r="Q130" s="144"/>
      <x:c r="R130" s="144"/>
      <x:c r="S130" s="144"/>
      <x:c r="T130" s="144"/>
      <x:c r="U130" s="144"/>
      <x:c r="V130" s="144"/>
      <x:c r="W130" s="144"/>
      <x:c r="X130" s="144"/>
      <x:c r="Y130" s="144"/>
      <x:c r="Z130" s="144"/>
      <x:c r="AA130" s="144"/>
      <x:c r="AB130" s="144"/>
      <x:c r="AC130" s="144"/>
      <x:c r="AD130" s="144"/>
      <x:c r="AE130" s="144"/>
    </x:row>
    <x:row r="131" ht="21" customHeight="1">
      <x:c r="A131" s="13" t="str">
        <x:v>PEN1904</x:v>
      </x:c>
      <x:c r="B131" s="13" t="str">
        <x:v>Sable Brass House</x:v>
      </x:c>
      <x:c r="C131" s="13" t="str">
        <x:v>Pendants</x:v>
      </x:c>
      <x:c r="D131" s="16" t="n">
        <x:v>23250.84</x:v>
      </x:c>
      <x:c r="E131" s="19" t="n">
        <x:v>0.5376</x:v>
      </x:c>
      <x:c r="F131" s="19" t="n">
        <x:v>0.8485</x:v>
      </x:c>
      <x:c r="G131" s="22" t="n">
        <x:v>5.7</x:v>
      </x:c>
      <x:c r="H131" s="16" t="n">
        <x:v>1920</x:v>
      </x:c>
      <x:c r="I131" s="13" t="str">
        <x:v>MAINTAIN</x:v>
      </x:c>
      <x:c r="J131" s="13" t="str">
        <x:v>Best</x:v>
      </x:c>
      <x:c r="K131" s="13" t="n">
        <x:v>97</x:v>
      </x:c>
      <x:c r="L131" s="144"/>
      <x:c r="M131" s="144"/>
      <x:c r="N131" s="144"/>
      <x:c r="O131" s="144"/>
      <x:c r="P131" s="144"/>
      <x:c r="Q131" s="144"/>
      <x:c r="R131" s="144"/>
      <x:c r="S131" s="144"/>
      <x:c r="T131" s="144"/>
      <x:c r="U131" s="144"/>
      <x:c r="V131" s="144"/>
      <x:c r="W131" s="144"/>
      <x:c r="X131" s="144"/>
      <x:c r="Y131" s="144"/>
      <x:c r="Z131" s="144"/>
      <x:c r="AA131" s="144"/>
      <x:c r="AB131" s="144"/>
      <x:c r="AC131" s="144"/>
      <x:c r="AD131" s="144"/>
      <x:c r="AE131" s="144"/>
    </x:row>
    <x:row r="132" ht="21" customHeight="1">
      <x:c r="A132" s="13" t="str">
        <x:v>FUR0560</x:v>
      </x:c>
      <x:c r="B132" s="13" t="str">
        <x:v>Sable Ceramic Object</x:v>
      </x:c>
      <x:c r="C132" s="13" t="str">
        <x:v>Accent Furniture</x:v>
      </x:c>
      <x:c r="D132" s="16" t="n">
        <x:v>23223.93</x:v>
      </x:c>
      <x:c r="E132" s="19" t="n">
        <x:v>0.5331</x:v>
      </x:c>
      <x:c r="F132" s="19" t="n">
        <x:v>0.7719</x:v>
      </x:c>
      <x:c r="G132" s="22" t="n">
        <x:v>9.4</x:v>
      </x:c>
      <x:c r="H132" s="16" t="n">
        <x:v>3203.98</x:v>
      </x:c>
      <x:c r="I132" s="13" t="str">
        <x:v>MAINTAIN</x:v>
      </x:c>
      <x:c r="J132" s="13" t="str">
        <x:v>Best</x:v>
      </x:c>
      <x:c r="K132" s="13" t="n">
        <x:v>98</x:v>
      </x:c>
      <x:c r="L132" s="144"/>
      <x:c r="M132" s="144"/>
      <x:c r="N132" s="144"/>
      <x:c r="O132" s="144"/>
      <x:c r="P132" s="144"/>
      <x:c r="Q132" s="144"/>
      <x:c r="R132" s="144"/>
      <x:c r="S132" s="144"/>
      <x:c r="T132" s="144"/>
      <x:c r="U132" s="144"/>
      <x:c r="V132" s="144"/>
      <x:c r="W132" s="144"/>
      <x:c r="X132" s="144"/>
      <x:c r="Y132" s="144"/>
      <x:c r="Z132" s="144"/>
      <x:c r="AA132" s="144"/>
      <x:c r="AB132" s="144"/>
      <x:c r="AC132" s="144"/>
      <x:c r="AD132" s="144"/>
      <x:c r="AE132" s="144"/>
    </x:row>
    <x:row r="133" ht="21" customHeight="1">
      <x:c r="A133" s="13" t="str">
        <x:v>FLR1868</x:v>
      </x:c>
      <x:c r="B133" s="13" t="str">
        <x:v>Arc Glass Studio</x:v>
      </x:c>
      <x:c r="C133" s="13" t="str">
        <x:v>Floor Lamps</x:v>
      </x:c>
      <x:c r="D133" s="16" t="n">
        <x:v>22923.45</x:v>
      </x:c>
      <x:c r="E133" s="19" t="n">
        <x:v>0.5258</x:v>
      </x:c>
      <x:c r="F133" s="19" t="n">
        <x:v>0.8624</x:v>
      </x:c>
      <x:c r="G133" s="22" t="n">
        <x:v>5.1</x:v>
      </x:c>
      <x:c r="H133" s="16" t="n">
        <x:v>1734.75</x:v>
      </x:c>
      <x:c r="I133" s="13" t="str">
        <x:v>MAINTAIN</x:v>
      </x:c>
      <x:c r="J133" s="13" t="str">
        <x:v>Best</x:v>
      </x:c>
      <x:c r="K133" s="13" t="n">
        <x:v>99</x:v>
      </x:c>
      <x:c r="L133" s="144"/>
      <x:c r="M133" s="144"/>
      <x:c r="N133" s="144"/>
      <x:c r="O133" s="144"/>
      <x:c r="P133" s="144"/>
      <x:c r="Q133" s="144"/>
      <x:c r="R133" s="144"/>
      <x:c r="S133" s="144"/>
      <x:c r="T133" s="144"/>
      <x:c r="U133" s="144"/>
      <x:c r="V133" s="144"/>
      <x:c r="W133" s="144"/>
      <x:c r="X133" s="144"/>
      <x:c r="Y133" s="144"/>
      <x:c r="Z133" s="144"/>
      <x:c r="AA133" s="144"/>
      <x:c r="AB133" s="144"/>
      <x:c r="AC133" s="144"/>
      <x:c r="AD133" s="144"/>
      <x:c r="AE133" s="144"/>
    </x:row>
    <x:row r="134" ht="21" customHeight="1">
      <x:c r="A134" s="14" t="str">
        <x:v>PEN1908</x:v>
      </x:c>
      <x:c r="B134" s="14" t="str">
        <x:v>Luna Marble Vessel</x:v>
      </x:c>
      <x:c r="C134" s="14" t="str">
        <x:v>Pendants</x:v>
      </x:c>
      <x:c r="D134" s="17" t="n">
        <x:v>22305.67</x:v>
      </x:c>
      <x:c r="E134" s="20" t="n">
        <x:v>0.5754</x:v>
      </x:c>
      <x:c r="F134" s="20" t="n">
        <x:v>0.8571</x:v>
      </x:c>
      <x:c r="G134" s="23" t="n">
        <x:v>5.3</x:v>
      </x:c>
      <x:c r="H134" s="17" t="n">
        <x:v>1578.36</x:v>
      </x:c>
      <x:c r="I134" s="14" t="str">
        <x:v>MAINTAIN</x:v>
      </x:c>
      <x:c r="J134" s="14" t="str">
        <x:v>Best</x:v>
      </x:c>
      <x:c r="K134" s="14" t="n">
        <x:v>100</x:v>
      </x:c>
      <x:c r="L134" s="144"/>
      <x:c r="M134" s="144"/>
      <x:c r="N134" s="144"/>
      <x:c r="O134" s="144"/>
      <x:c r="P134" s="144"/>
      <x:c r="Q134" s="144"/>
      <x:c r="R134" s="144"/>
      <x:c r="S134" s="144"/>
      <x:c r="T134" s="144"/>
      <x:c r="U134" s="144"/>
      <x:c r="V134" s="144"/>
      <x:c r="W134" s="144"/>
      <x:c r="X134" s="144"/>
      <x:c r="Y134" s="144"/>
      <x:c r="Z134" s="144"/>
      <x:c r="AA134" s="144"/>
      <x:c r="AB134" s="144"/>
      <x:c r="AC134" s="144"/>
      <x:c r="AD134" s="144"/>
      <x:c r="AE134" s="14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3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4" customHeight="1">
      <x:c r="A1" s="42" t="str">
        <x:v>N O R T H S T A R   ·   HOME &amp; LIVING</x:v>
      </x:c>
      <x:c r="B1" s="141"/>
      <x:c r="C1" s="141"/>
      <x:c r="D1" s="141"/>
      <x:c r="E1" s="141"/>
      <x:c r="F1" s="141"/>
      <x:c r="G1" s="141"/>
      <x:c r="H1" s="141"/>
    </x:row>
    <x:row r="2">
      <x:c r="A2" s="44" t="str">
        <x:v>Model Checks</x:v>
      </x:c>
      <x:c r="B2" s="141"/>
      <x:c r="C2" s="141"/>
      <x:c r="D2" s="141"/>
      <x:c r="E2" s="141"/>
      <x:c r="F2" s="141"/>
      <x:c r="G2" s="141"/>
      <x:c r="H2" s="141"/>
    </x:row>
    <x:row r="3">
      <x:c r="A3" s="141"/>
      <x:c r="B3" s="141"/>
      <x:c r="C3" s="141"/>
      <x:c r="D3" s="141"/>
      <x:c r="E3" s="141"/>
      <x:c r="F3" s="141"/>
      <x:c r="G3" s="141"/>
      <x:c r="H3" s="141"/>
    </x:row>
    <x:row r="4" ht="22" customHeight="1">
      <x:c r="A4" s="46" t="str">
        <x:v>Refresh controls · reconciliation · audit status</x:v>
      </x:c>
      <x:c r="B4" s="141"/>
      <x:c r="C4" s="141"/>
      <x:c r="D4" s="141"/>
      <x:c r="E4" s="141"/>
      <x:c r="F4" s="141"/>
      <x:c r="G4" s="141"/>
      <x:c r="H4" s="141"/>
    </x:row>
    <x:row r="5">
      <x:c r="A5" s="141"/>
      <x:c r="B5" s="141"/>
      <x:c r="C5" s="141"/>
      <x:c r="D5" s="141"/>
      <x:c r="E5" s="141"/>
      <x:c r="F5" s="141"/>
      <x:c r="G5" s="141"/>
      <x:c r="H5" s="141"/>
    </x:row>
    <x:row r="6" ht="24" customHeight="1">
      <x:c r="A6" s="6" t="str">
        <x:v>Check</x:v>
      </x:c>
      <x:c r="B6" s="6" t="str">
        <x:v>Expected</x:v>
      </x:c>
      <x:c r="C6" s="6" t="str">
        <x:v>Actual</x:v>
      </x:c>
      <x:c r="D6" s="6" t="str">
        <x:v>Delta</x:v>
      </x:c>
      <x:c r="E6" s="6" t="str">
        <x:v>Where to Fix</x:v>
      </x:c>
      <x:c r="F6" s="141"/>
      <x:c r="G6" s="141"/>
      <x:c r="H6" s="141"/>
    </x:row>
    <x:row r="7" ht="21" customHeight="1">
      <x:c r="A7" s="12" t="str">
        <x:v>Allocation units reconcile</x:v>
      </x:c>
      <x:c r="B7" s="12" t="n">
        <x:v>500</x:v>
      </x:c>
      <x:c r="C7" s="12" t="n">
        <x:f>'04_Allocation'!B20</x:f>
        <x:v>500</x:v>
      </x:c>
      <x:c r="D7" s="12" t="n">
        <x:f>C7-B7</x:f>
        <x:v>0</x:v>
      </x:c>
      <x:c r="E7" s="12" t="str">
        <x:v>04_Allocation</x:v>
      </x:c>
      <x:c r="F7" s="141"/>
      <x:c r="G7" s="141"/>
      <x:c r="H7" s="141"/>
    </x:row>
    <x:row r="8" ht="21" customHeight="1">
      <x:c r="A8" s="13" t="str">
        <x:v>OTB rows populated</x:v>
      </x:c>
      <x:c r="B8" s="13" t="n">
        <x:v>6</x:v>
      </x:c>
      <x:c r="C8" s="13" t="n">
        <x:f>COUNTA('03_OTB'!A7:A12)</x:f>
        <x:v>6</x:v>
      </x:c>
      <x:c r="D8" s="13" t="n">
        <x:f>C8-B8</x:f>
        <x:v>0</x:v>
      </x:c>
      <x:c r="E8" s="13" t="str">
        <x:v>03_OTB</x:v>
      </x:c>
      <x:c r="F8" s="141"/>
      <x:c r="G8" s="141"/>
      <x:c r="H8" s="141"/>
    </x:row>
    <x:row r="9" ht="21" customHeight="1">
      <x:c r="A9" s="13" t="str">
        <x:v>Transfer recommendations</x:v>
      </x:c>
      <x:c r="B9" s="13" t="n">
        <x:v>8</x:v>
      </x:c>
      <x:c r="C9" s="13" t="n">
        <x:f>COUNTA('06_Transfers'!A7:A14)</x:f>
        <x:v>8</x:v>
      </x:c>
      <x:c r="D9" s="13" t="n">
        <x:f>C9-B9</x:f>
        <x:v>0</x:v>
      </x:c>
      <x:c r="E9" s="13" t="str">
        <x:v>06_Transfers</x:v>
      </x:c>
      <x:c r="F9" s="141"/>
      <x:c r="G9" s="141"/>
      <x:c r="H9" s="141"/>
    </x:row>
    <x:row r="10" ht="21" customHeight="1">
      <x:c r="A10" s="13" t="str">
        <x:v>Top vendor score</x:v>
      </x:c>
      <x:c r="B10" s="13" t="n">
        <x:v>97</x:v>
      </x:c>
      <x:c r="C10" s="13" t="n">
        <x:f>MAX('09_Vendors'!I7:I18)</x:f>
        <x:v>97</x:v>
      </x:c>
      <x:c r="D10" s="13" t="n">
        <x:f>C10-B10</x:f>
        <x:v>0</x:v>
      </x:c>
      <x:c r="E10" s="13" t="str">
        <x:v>09_Vendors</x:v>
      </x:c>
      <x:c r="F10" s="141"/>
      <x:c r="G10" s="141"/>
      <x:c r="H10" s="141"/>
    </x:row>
    <x:row r="11" ht="21" customHeight="1">
      <x:c r="A11" s="14" t="str">
        <x:v>Dataset transaction count</x:v>
      </x:c>
      <x:c r="B11" s="14" t="n">
        <x:v>120000</x:v>
      </x:c>
      <x:c r="C11" s="14" t="n">
        <x:v>120000</x:v>
      </x:c>
      <x:c r="D11" s="14" t="n">
        <x:f>C11-B11</x:f>
        <x:v>0</x:v>
      </x:c>
      <x:c r="E11" s="14" t="str">
        <x:v>python/generate_data.py</x:v>
      </x:c>
      <x:c r="F11" s="141"/>
      <x:c r="G11" s="141"/>
      <x:c r="H11" s="141"/>
    </x:row>
    <x:row r="12">
      <x:c r="A12" s="141"/>
      <x:c r="B12" s="141"/>
      <x:c r="C12" s="141"/>
      <x:c r="D12" s="141"/>
      <x:c r="E12" s="141"/>
      <x:c r="F12" s="141"/>
      <x:c r="G12" s="141"/>
      <x:c r="H12" s="141"/>
    </x:row>
    <x:row r="13">
      <x:c r="A13" s="141"/>
      <x:c r="B13" s="141"/>
      <x:c r="C13" s="141"/>
      <x:c r="D13" s="141"/>
      <x:c r="E13" s="141"/>
      <x:c r="F13" s="141"/>
      <x:c r="G13" s="141"/>
      <x:c r="H13" s="141"/>
    </x:row>
    <x:row r="14">
      <x:c r="A14" s="117" t="str">
        <x:f>IF(SUM(ABS(D7),ABS(D8),ABS(D9),ABS(D10),ABS(D11))=0,"MODEL STATUS: PASS","MODEL STATUS: REVIEW")</x:f>
        <x:v>MODEL STATUS: PASS</x:v>
      </x:c>
      <x:c r="B14" s="117"/>
      <x:c r="C14" s="117"/>
      <x:c r="D14" s="117"/>
      <x:c r="E14" s="117"/>
      <x:c r="F14" s="117"/>
      <x:c r="G14" s="117"/>
      <x:c r="H14" s="117"/>
    </x:row>
    <x:row r="15">
      <x:c r="A15" s="118"/>
      <x:c r="B15" s="118"/>
      <x:c r="C15" s="118"/>
      <x:c r="D15" s="118"/>
      <x:c r="E15" s="118"/>
      <x:c r="F15" s="118"/>
      <x:c r="G15" s="118"/>
      <x:c r="H15" s="118"/>
    </x:row>
    <x:row r="16">
      <x:c r="A16" s="118"/>
      <x:c r="B16" s="118"/>
      <x:c r="C16" s="118"/>
      <x:c r="D16" s="118"/>
      <x:c r="E16" s="118"/>
      <x:c r="F16" s="118"/>
      <x:c r="G16" s="118"/>
      <x:c r="H16" s="118"/>
    </x:row>
    <x:row r="17">
      <x:c r="A17" s="118"/>
      <x:c r="B17" s="118"/>
      <x:c r="C17" s="118"/>
      <x:c r="D17" s="118"/>
      <x:c r="E17" s="118"/>
      <x:c r="F17" s="118"/>
      <x:c r="G17" s="118"/>
      <x:c r="H17" s="118"/>
    </x:row>
    <x:row r="18">
      <x:c r="A18" s="141"/>
      <x:c r="B18" s="141"/>
      <x:c r="C18" s="141"/>
      <x:c r="D18" s="141"/>
      <x:c r="E18" s="141"/>
      <x:c r="F18" s="141"/>
      <x:c r="G18" s="141"/>
      <x:c r="H18" s="141"/>
    </x:row>
    <x:row r="19">
      <x:c r="A19" s="141"/>
      <x:c r="B19" s="141"/>
      <x:c r="C19" s="141"/>
      <x:c r="D19" s="141"/>
      <x:c r="E19" s="141"/>
      <x:c r="F19" s="141"/>
      <x:c r="G19" s="141"/>
      <x:c r="H19" s="141"/>
    </x:row>
    <x:row r="20">
      <x:c r="A20" s="121" t="str">
        <x:v>Source: deterministic synthetic dataset generated 12 August 2026. Owner: Chelaka Fernando. Scenario: FY2026 Week 32 base case. All business names and records are fictional.</x:v>
      </x:c>
      <x:c r="B20" s="121"/>
      <x:c r="C20" s="121"/>
      <x:c r="D20" s="121"/>
      <x:c r="E20" s="121"/>
      <x:c r="F20" s="121"/>
      <x:c r="G20" s="121"/>
      <x:c r="H20" s="121"/>
    </x:row>
    <x:row r="21">
      <x:c r="A21" s="121"/>
      <x:c r="B21" s="121"/>
      <x:c r="C21" s="121"/>
      <x:c r="D21" s="121"/>
      <x:c r="E21" s="121"/>
      <x:c r="F21" s="121"/>
      <x:c r="G21" s="121"/>
      <x:c r="H21" s="121"/>
    </x:row>
    <x:row r="22">
      <x:c r="A22" s="121"/>
      <x:c r="B22" s="121"/>
      <x:c r="C22" s="121"/>
      <x:c r="D22" s="121"/>
      <x:c r="E22" s="121"/>
      <x:c r="F22" s="121"/>
      <x:c r="G22" s="121"/>
      <x:c r="H22" s="121"/>
    </x:row>
    <x:row r="23">
      <x:c r="A23" s="141"/>
      <x:c r="B23" s="141"/>
      <x:c r="C23" s="141"/>
      <x:c r="D23" s="141"/>
      <x:c r="E23" s="141"/>
      <x:c r="F23" s="141"/>
      <x:c r="G23" s="141"/>
      <x:c r="H23" s="141"/>
    </x:row>
    <x:row r="24">
      <x:c r="A24" s="141"/>
      <x:c r="B24" s="141"/>
      <x:c r="C24" s="141"/>
      <x:c r="D24" s="141"/>
      <x:c r="E24" s="141"/>
      <x:c r="F24" s="141"/>
      <x:c r="G24" s="141"/>
      <x:c r="H24" s="141"/>
    </x:row>
  </x:sheetData>
  <x:mergeCells>
    <x:mergeCell ref="A1:H1"/>
    <x:mergeCell ref="A2:H3"/>
    <x:mergeCell ref="A4:H4"/>
    <x:mergeCell ref="A14:H17"/>
    <x:mergeCell ref="A20:H22"/>
  </x:mergeCells>
  <x:pageMargins left="0.7" right="0.7" top="0.75" bottom="0.75" header="0.3" footer="0.3"/>
</x:worksheet>
</file>